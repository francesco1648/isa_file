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Titania\Desktop\ms\lab3\test_conv1d\test_conv1d\"/>
    </mc:Choice>
  </mc:AlternateContent>
  <xr:revisionPtr revIDLastSave="0" documentId="13_ncr:1_{D86DD33F-AE3F-468F-AB3D-17D38705F85F}" xr6:coauthVersionLast="47" xr6:coauthVersionMax="47" xr10:uidLastSave="{00000000-0000-0000-0000-000000000000}"/>
  <bookViews>
    <workbookView xWindow="5820" yWindow="1140" windowWidth="14085" windowHeight="9690" xr2:uid="{0D9A6957-12B8-4496-A02D-3AD1E515C0C0}"/>
  </bookViews>
  <sheets>
    <sheet name="mem_dec" sheetId="1" r:id="rId1"/>
    <sheet name="mem_hex" sheetId="6" r:id="rId2"/>
    <sheet name="out_col0" sheetId="2" r:id="rId3"/>
    <sheet name="hex_out_col0" sheetId="5" r:id="rId4"/>
    <sheet name="out_col1" sheetId="3" r:id="rId5"/>
    <sheet name="hex_out_col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B36" i="2"/>
  <c r="C36" i="2"/>
  <c r="D36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B31" i="2"/>
  <c r="C31" i="2"/>
  <c r="D31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B26" i="2"/>
  <c r="C26" i="2"/>
  <c r="D26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B21" i="2"/>
  <c r="C21" i="2"/>
  <c r="D21" i="2"/>
  <c r="A17" i="3" l="1"/>
  <c r="A17" i="4" s="1"/>
  <c r="B17" i="3"/>
  <c r="B17" i="4" s="1"/>
  <c r="C17" i="3"/>
  <c r="C17" i="4" s="1"/>
  <c r="D17" i="3"/>
  <c r="D17" i="4" s="1"/>
  <c r="A18" i="3"/>
  <c r="A18" i="4" s="1"/>
  <c r="B18" i="3"/>
  <c r="B18" i="4" s="1"/>
  <c r="C18" i="3"/>
  <c r="C18" i="4" s="1"/>
  <c r="D18" i="3"/>
  <c r="D18" i="4" s="1"/>
  <c r="A19" i="3"/>
  <c r="A19" i="4" s="1"/>
  <c r="B19" i="3"/>
  <c r="B19" i="4" s="1"/>
  <c r="C19" i="3"/>
  <c r="C19" i="4" s="1"/>
  <c r="D19" i="3"/>
  <c r="D19" i="4" s="1"/>
  <c r="A20" i="3"/>
  <c r="A20" i="4" s="1"/>
  <c r="B20" i="3"/>
  <c r="B20" i="4" s="1"/>
  <c r="C20" i="3"/>
  <c r="C20" i="4" s="1"/>
  <c r="D20" i="3"/>
  <c r="D20" i="4" s="1"/>
  <c r="B16" i="3"/>
  <c r="B16" i="4" s="1"/>
  <c r="C16" i="3"/>
  <c r="C16" i="4" s="1"/>
  <c r="D16" i="3"/>
  <c r="D16" i="4" s="1"/>
  <c r="A12" i="3"/>
  <c r="A12" i="4" s="1"/>
  <c r="B12" i="3"/>
  <c r="B12" i="4" s="1"/>
  <c r="C12" i="3"/>
  <c r="C12" i="4" s="1"/>
  <c r="D12" i="3"/>
  <c r="D12" i="4" s="1"/>
  <c r="A13" i="3"/>
  <c r="A13" i="4" s="1"/>
  <c r="B13" i="3"/>
  <c r="B13" i="4" s="1"/>
  <c r="C13" i="3"/>
  <c r="C13" i="4" s="1"/>
  <c r="D13" i="3"/>
  <c r="D13" i="4" s="1"/>
  <c r="A14" i="3"/>
  <c r="A14" i="4" s="1"/>
  <c r="B14" i="3"/>
  <c r="B14" i="4" s="1"/>
  <c r="C14" i="3"/>
  <c r="C14" i="4" s="1"/>
  <c r="D14" i="3"/>
  <c r="D14" i="4" s="1"/>
  <c r="A15" i="3"/>
  <c r="A15" i="4" s="1"/>
  <c r="B15" i="3"/>
  <c r="B15" i="4" s="1"/>
  <c r="C15" i="3"/>
  <c r="C15" i="4" s="1"/>
  <c r="D15" i="3"/>
  <c r="D15" i="4" s="1"/>
  <c r="B11" i="3"/>
  <c r="B11" i="4" s="1"/>
  <c r="C11" i="3"/>
  <c r="C11" i="4" s="1"/>
  <c r="D11" i="3"/>
  <c r="D11" i="4" s="1"/>
  <c r="A7" i="3"/>
  <c r="A7" i="4" s="1"/>
  <c r="B7" i="3"/>
  <c r="B7" i="4" s="1"/>
  <c r="C7" i="3"/>
  <c r="C7" i="4" s="1"/>
  <c r="D7" i="3"/>
  <c r="D7" i="4" s="1"/>
  <c r="A8" i="3"/>
  <c r="A8" i="4" s="1"/>
  <c r="B8" i="3"/>
  <c r="B8" i="4" s="1"/>
  <c r="C8" i="3"/>
  <c r="C8" i="4" s="1"/>
  <c r="D8" i="3"/>
  <c r="D8" i="4" s="1"/>
  <c r="A9" i="3"/>
  <c r="A9" i="4" s="1"/>
  <c r="B9" i="3"/>
  <c r="B9" i="4" s="1"/>
  <c r="C9" i="3"/>
  <c r="C9" i="4" s="1"/>
  <c r="D9" i="3"/>
  <c r="D9" i="4" s="1"/>
  <c r="A10" i="3"/>
  <c r="A10" i="4" s="1"/>
  <c r="B10" i="3"/>
  <c r="B10" i="4" s="1"/>
  <c r="C10" i="3"/>
  <c r="C10" i="4" s="1"/>
  <c r="D10" i="3"/>
  <c r="D10" i="4" s="1"/>
  <c r="B6" i="3"/>
  <c r="B6" i="4" s="1"/>
  <c r="C6" i="3"/>
  <c r="C6" i="4" s="1"/>
  <c r="D6" i="3"/>
  <c r="D6" i="4" s="1"/>
  <c r="A2" i="3"/>
  <c r="A2" i="4" s="1"/>
  <c r="B2" i="3"/>
  <c r="B2" i="4" s="1"/>
  <c r="C2" i="3"/>
  <c r="C2" i="4" s="1"/>
  <c r="D2" i="3"/>
  <c r="D2" i="4" s="1"/>
  <c r="A3" i="3"/>
  <c r="A3" i="4" s="1"/>
  <c r="B3" i="3"/>
  <c r="B3" i="4" s="1"/>
  <c r="C3" i="3"/>
  <c r="C3" i="4" s="1"/>
  <c r="D3" i="3"/>
  <c r="D3" i="4" s="1"/>
  <c r="A4" i="3"/>
  <c r="A4" i="4" s="1"/>
  <c r="B4" i="3"/>
  <c r="B4" i="4" s="1"/>
  <c r="C4" i="3"/>
  <c r="C4" i="4" s="1"/>
  <c r="D4" i="3"/>
  <c r="D4" i="4" s="1"/>
  <c r="A5" i="3"/>
  <c r="A5" i="4" s="1"/>
  <c r="B5" i="3"/>
  <c r="B5" i="4" s="1"/>
  <c r="C5" i="3"/>
  <c r="C5" i="4" s="1"/>
  <c r="D5" i="3"/>
  <c r="D5" i="4" s="1"/>
  <c r="B1" i="3"/>
  <c r="B1" i="4" s="1"/>
  <c r="C1" i="3"/>
  <c r="C1" i="4" s="1"/>
  <c r="D1" i="3"/>
  <c r="D1" i="4" s="1"/>
  <c r="G27" i="1"/>
  <c r="A66" i="3" l="1"/>
  <c r="A66" i="4" s="1"/>
  <c r="B66" i="3"/>
  <c r="B66" i="4" s="1"/>
  <c r="C66" i="3"/>
  <c r="C66" i="4" s="1"/>
  <c r="D66" i="3"/>
  <c r="D66" i="4" s="1"/>
  <c r="A67" i="3"/>
  <c r="A67" i="4" s="1"/>
  <c r="B67" i="3"/>
  <c r="B67" i="4" s="1"/>
  <c r="C67" i="3"/>
  <c r="C67" i="4" s="1"/>
  <c r="D67" i="3"/>
  <c r="D67" i="4" s="1"/>
  <c r="A68" i="3"/>
  <c r="A68" i="4" s="1"/>
  <c r="B68" i="3"/>
  <c r="B68" i="4" s="1"/>
  <c r="C68" i="3"/>
  <c r="C68" i="4" s="1"/>
  <c r="D68" i="3"/>
  <c r="D68" i="4" s="1"/>
  <c r="A69" i="3"/>
  <c r="A69" i="4" s="1"/>
  <c r="B69" i="3"/>
  <c r="B69" i="4" s="1"/>
  <c r="C69" i="3"/>
  <c r="C69" i="4" s="1"/>
  <c r="D69" i="3"/>
  <c r="D69" i="4" s="1"/>
  <c r="A70" i="3"/>
  <c r="A70" i="4" s="1"/>
  <c r="B70" i="3"/>
  <c r="B70" i="4" s="1"/>
  <c r="C70" i="3"/>
  <c r="C70" i="4" s="1"/>
  <c r="D70" i="3"/>
  <c r="D70" i="4" s="1"/>
  <c r="A71" i="3"/>
  <c r="A71" i="4" s="1"/>
  <c r="B71" i="3"/>
  <c r="B71" i="4" s="1"/>
  <c r="C71" i="3"/>
  <c r="C71" i="4" s="1"/>
  <c r="D71" i="3"/>
  <c r="D71" i="4" s="1"/>
  <c r="A72" i="3"/>
  <c r="A72" i="4" s="1"/>
  <c r="B72" i="3"/>
  <c r="B72" i="4" s="1"/>
  <c r="C72" i="3"/>
  <c r="C72" i="4" s="1"/>
  <c r="D72" i="3"/>
  <c r="D72" i="4" s="1"/>
  <c r="A73" i="3"/>
  <c r="A73" i="4" s="1"/>
  <c r="B73" i="3"/>
  <c r="B73" i="4" s="1"/>
  <c r="C73" i="3"/>
  <c r="C73" i="4" s="1"/>
  <c r="D73" i="3"/>
  <c r="D73" i="4" s="1"/>
  <c r="A74" i="3"/>
  <c r="A74" i="4" s="1"/>
  <c r="B74" i="3"/>
  <c r="B74" i="4" s="1"/>
  <c r="C74" i="3"/>
  <c r="C74" i="4" s="1"/>
  <c r="D74" i="3"/>
  <c r="D74" i="4" s="1"/>
  <c r="A75" i="3"/>
  <c r="A75" i="4" s="1"/>
  <c r="B75" i="3"/>
  <c r="B75" i="4" s="1"/>
  <c r="C75" i="3"/>
  <c r="C75" i="4" s="1"/>
  <c r="D75" i="3"/>
  <c r="D75" i="4" s="1"/>
  <c r="A76" i="3"/>
  <c r="A76" i="4" s="1"/>
  <c r="B76" i="3"/>
  <c r="B76" i="4" s="1"/>
  <c r="C76" i="3"/>
  <c r="C76" i="4" s="1"/>
  <c r="D76" i="3"/>
  <c r="D76" i="4" s="1"/>
  <c r="A77" i="3"/>
  <c r="A77" i="4" s="1"/>
  <c r="B77" i="3"/>
  <c r="B77" i="4" s="1"/>
  <c r="C77" i="3"/>
  <c r="C77" i="4" s="1"/>
  <c r="D77" i="3"/>
  <c r="D77" i="4" s="1"/>
  <c r="A78" i="3"/>
  <c r="A78" i="4" s="1"/>
  <c r="B78" i="3"/>
  <c r="B78" i="4" s="1"/>
  <c r="C78" i="3"/>
  <c r="C78" i="4" s="1"/>
  <c r="D78" i="3"/>
  <c r="D78" i="4" s="1"/>
  <c r="A79" i="3"/>
  <c r="A79" i="4" s="1"/>
  <c r="B79" i="3"/>
  <c r="B79" i="4" s="1"/>
  <c r="C79" i="3"/>
  <c r="C79" i="4" s="1"/>
  <c r="D79" i="3"/>
  <c r="D79" i="4" s="1"/>
  <c r="A80" i="3"/>
  <c r="A80" i="4" s="1"/>
  <c r="B80" i="3"/>
  <c r="B80" i="4" s="1"/>
  <c r="C80" i="3"/>
  <c r="C80" i="4" s="1"/>
  <c r="D80" i="3"/>
  <c r="D80" i="4" s="1"/>
  <c r="A62" i="3"/>
  <c r="A62" i="4" s="1"/>
  <c r="B62" i="3"/>
  <c r="B62" i="4" s="1"/>
  <c r="C62" i="3"/>
  <c r="C62" i="4" s="1"/>
  <c r="D62" i="3"/>
  <c r="D62" i="4" s="1"/>
  <c r="A63" i="3"/>
  <c r="A63" i="4" s="1"/>
  <c r="B63" i="3"/>
  <c r="B63" i="4" s="1"/>
  <c r="C63" i="3"/>
  <c r="C63" i="4" s="1"/>
  <c r="D63" i="3"/>
  <c r="D63" i="4" s="1"/>
  <c r="A64" i="3"/>
  <c r="A64" i="4" s="1"/>
  <c r="B64" i="3"/>
  <c r="B64" i="4" s="1"/>
  <c r="C64" i="3"/>
  <c r="C64" i="4" s="1"/>
  <c r="D64" i="3"/>
  <c r="D64" i="4" s="1"/>
  <c r="A65" i="3"/>
  <c r="A65" i="4" s="1"/>
  <c r="B65" i="3"/>
  <c r="B65" i="4" s="1"/>
  <c r="C65" i="3"/>
  <c r="C65" i="4" s="1"/>
  <c r="D65" i="3"/>
  <c r="D65" i="4" s="1"/>
  <c r="B61" i="3"/>
  <c r="B61" i="4" s="1"/>
  <c r="C61" i="3"/>
  <c r="C61" i="4" s="1"/>
  <c r="D61" i="3"/>
  <c r="D61" i="4" s="1"/>
  <c r="A61" i="3"/>
  <c r="A61" i="4" s="1"/>
  <c r="A61" i="2"/>
  <c r="H65" i="5"/>
  <c r="H64" i="5"/>
  <c r="H63" i="5"/>
  <c r="H62" i="5"/>
  <c r="H61" i="5"/>
  <c r="H45" i="5"/>
  <c r="H44" i="5"/>
  <c r="H43" i="5"/>
  <c r="H42" i="5"/>
  <c r="H41" i="5"/>
  <c r="H25" i="5"/>
  <c r="H24" i="5"/>
  <c r="H23" i="5"/>
  <c r="H22" i="5"/>
  <c r="H21" i="5"/>
  <c r="H2" i="5"/>
  <c r="H3" i="5"/>
  <c r="H4" i="5"/>
  <c r="H5" i="5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A117" i="6"/>
  <c r="B117" i="6"/>
  <c r="C117" i="6"/>
  <c r="D117" i="6"/>
  <c r="A118" i="6"/>
  <c r="B118" i="6"/>
  <c r="C118" i="6"/>
  <c r="D118" i="6"/>
  <c r="A119" i="6"/>
  <c r="B119" i="6"/>
  <c r="C119" i="6"/>
  <c r="D119" i="6"/>
  <c r="A120" i="6"/>
  <c r="B120" i="6"/>
  <c r="C120" i="6"/>
  <c r="D120" i="6"/>
  <c r="A121" i="6"/>
  <c r="B121" i="6"/>
  <c r="C121" i="6"/>
  <c r="D121" i="6"/>
  <c r="A122" i="6"/>
  <c r="B122" i="6"/>
  <c r="C122" i="6"/>
  <c r="D122" i="6"/>
  <c r="A123" i="6"/>
  <c r="B123" i="6"/>
  <c r="C123" i="6"/>
  <c r="D123" i="6"/>
  <c r="A124" i="6"/>
  <c r="B124" i="6"/>
  <c r="C124" i="6"/>
  <c r="D124" i="6"/>
  <c r="A125" i="6"/>
  <c r="B125" i="6"/>
  <c r="C125" i="6"/>
  <c r="D125" i="6"/>
  <c r="A126" i="6"/>
  <c r="B126" i="6"/>
  <c r="C126" i="6"/>
  <c r="D126" i="6"/>
  <c r="A127" i="6"/>
  <c r="B127" i="6"/>
  <c r="C127" i="6"/>
  <c r="D127" i="6"/>
  <c r="A128" i="6"/>
  <c r="B128" i="6"/>
  <c r="C128" i="6"/>
  <c r="D128" i="6"/>
  <c r="A129" i="6"/>
  <c r="B129" i="6"/>
  <c r="C129" i="6"/>
  <c r="D129" i="6"/>
  <c r="A130" i="6"/>
  <c r="B130" i="6"/>
  <c r="C130" i="6"/>
  <c r="D130" i="6"/>
  <c r="A131" i="6"/>
  <c r="B131" i="6"/>
  <c r="C131" i="6"/>
  <c r="D131" i="6"/>
  <c r="A132" i="6"/>
  <c r="B132" i="6"/>
  <c r="C132" i="6"/>
  <c r="D132" i="6"/>
  <c r="A133" i="6"/>
  <c r="B133" i="6"/>
  <c r="C133" i="6"/>
  <c r="D133" i="6"/>
  <c r="A134" i="6"/>
  <c r="B134" i="6"/>
  <c r="C134" i="6"/>
  <c r="D134" i="6"/>
  <c r="A135" i="6"/>
  <c r="B135" i="6"/>
  <c r="C135" i="6"/>
  <c r="D135" i="6"/>
  <c r="A136" i="6"/>
  <c r="B136" i="6"/>
  <c r="C136" i="6"/>
  <c r="D136" i="6"/>
  <c r="A137" i="6"/>
  <c r="B137" i="6"/>
  <c r="C137" i="6"/>
  <c r="D137" i="6"/>
  <c r="A138" i="6"/>
  <c r="B138" i="6"/>
  <c r="C138" i="6"/>
  <c r="D138" i="6"/>
  <c r="A139" i="6"/>
  <c r="B139" i="6"/>
  <c r="C139" i="6"/>
  <c r="D139" i="6"/>
  <c r="A140" i="6"/>
  <c r="B140" i="6"/>
  <c r="C140" i="6"/>
  <c r="D140" i="6"/>
  <c r="A141" i="6"/>
  <c r="B141" i="6"/>
  <c r="C141" i="6"/>
  <c r="D141" i="6"/>
  <c r="A142" i="6"/>
  <c r="B142" i="6"/>
  <c r="C142" i="6"/>
  <c r="D142" i="6"/>
  <c r="A143" i="6"/>
  <c r="B143" i="6"/>
  <c r="C143" i="6"/>
  <c r="D143" i="6"/>
  <c r="A144" i="6"/>
  <c r="B144" i="6"/>
  <c r="C144" i="6"/>
  <c r="D144" i="6"/>
  <c r="A145" i="6"/>
  <c r="B145" i="6"/>
  <c r="C145" i="6"/>
  <c r="D145" i="6"/>
  <c r="A146" i="6"/>
  <c r="B146" i="6"/>
  <c r="C146" i="6"/>
  <c r="D146" i="6"/>
  <c r="A147" i="6"/>
  <c r="B147" i="6"/>
  <c r="C147" i="6"/>
  <c r="D147" i="6"/>
  <c r="A148" i="6"/>
  <c r="B148" i="6"/>
  <c r="C148" i="6"/>
  <c r="D148" i="6"/>
  <c r="A149" i="6"/>
  <c r="B149" i="6"/>
  <c r="C149" i="6"/>
  <c r="D149" i="6"/>
  <c r="A150" i="6"/>
  <c r="B150" i="6"/>
  <c r="C150" i="6"/>
  <c r="D150" i="6"/>
  <c r="A151" i="6"/>
  <c r="B151" i="6"/>
  <c r="C151" i="6"/>
  <c r="D151" i="6"/>
  <c r="A152" i="6"/>
  <c r="B152" i="6"/>
  <c r="C152" i="6"/>
  <c r="D152" i="6"/>
  <c r="A153" i="6"/>
  <c r="B153" i="6"/>
  <c r="C153" i="6"/>
  <c r="D153" i="6"/>
  <c r="A154" i="6"/>
  <c r="B154" i="6"/>
  <c r="C154" i="6"/>
  <c r="D154" i="6"/>
  <c r="A2" i="6"/>
  <c r="B2" i="6"/>
  <c r="C2" i="6"/>
  <c r="D2" i="6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B1" i="6"/>
  <c r="C1" i="6"/>
  <c r="D1" i="6"/>
  <c r="A1" i="6"/>
  <c r="H1" i="5"/>
  <c r="B76" i="2"/>
  <c r="B76" i="5" s="1"/>
  <c r="C76" i="2"/>
  <c r="C76" i="5" s="1"/>
  <c r="D76" i="2"/>
  <c r="D76" i="5" s="1"/>
  <c r="B77" i="2"/>
  <c r="B77" i="5" s="1"/>
  <c r="C77" i="2"/>
  <c r="C77" i="5" s="1"/>
  <c r="D77" i="2"/>
  <c r="D77" i="5" s="1"/>
  <c r="B78" i="2"/>
  <c r="B78" i="5" s="1"/>
  <c r="C78" i="2"/>
  <c r="C78" i="5" s="1"/>
  <c r="D78" i="2"/>
  <c r="D78" i="5" s="1"/>
  <c r="B79" i="2"/>
  <c r="B79" i="5" s="1"/>
  <c r="C79" i="2"/>
  <c r="C79" i="5" s="1"/>
  <c r="D79" i="2"/>
  <c r="D79" i="5" s="1"/>
  <c r="B80" i="2"/>
  <c r="B80" i="5" s="1"/>
  <c r="C80" i="2"/>
  <c r="C80" i="5" s="1"/>
  <c r="D80" i="2"/>
  <c r="D80" i="5" s="1"/>
  <c r="A77" i="2"/>
  <c r="A78" i="2"/>
  <c r="A79" i="2"/>
  <c r="A79" i="5" s="1"/>
  <c r="A80" i="2"/>
  <c r="A76" i="2"/>
  <c r="B71" i="2"/>
  <c r="B71" i="5" s="1"/>
  <c r="C71" i="2"/>
  <c r="C71" i="5" s="1"/>
  <c r="D71" i="2"/>
  <c r="D71" i="5" s="1"/>
  <c r="B72" i="2"/>
  <c r="B72" i="5" s="1"/>
  <c r="C72" i="2"/>
  <c r="C72" i="5" s="1"/>
  <c r="D72" i="2"/>
  <c r="D72" i="5" s="1"/>
  <c r="B73" i="2"/>
  <c r="B73" i="5" s="1"/>
  <c r="C73" i="2"/>
  <c r="D73" i="2"/>
  <c r="D73" i="5" s="1"/>
  <c r="B74" i="2"/>
  <c r="B74" i="5" s="1"/>
  <c r="C74" i="2"/>
  <c r="C74" i="5" s="1"/>
  <c r="D74" i="2"/>
  <c r="B75" i="2"/>
  <c r="B75" i="5" s="1"/>
  <c r="C75" i="2"/>
  <c r="C75" i="5" s="1"/>
  <c r="D75" i="2"/>
  <c r="D75" i="5" s="1"/>
  <c r="A72" i="2"/>
  <c r="A72" i="5" s="1"/>
  <c r="A73" i="2"/>
  <c r="A74" i="2"/>
  <c r="A74" i="5" s="1"/>
  <c r="A75" i="2"/>
  <c r="A71" i="2"/>
  <c r="B66" i="2"/>
  <c r="B66" i="5" s="1"/>
  <c r="C66" i="2"/>
  <c r="C66" i="5" s="1"/>
  <c r="D66" i="2"/>
  <c r="D66" i="5" s="1"/>
  <c r="B67" i="2"/>
  <c r="B67" i="5" s="1"/>
  <c r="C67" i="2"/>
  <c r="C67" i="5" s="1"/>
  <c r="D67" i="2"/>
  <c r="D67" i="5" s="1"/>
  <c r="B68" i="2"/>
  <c r="B68" i="5" s="1"/>
  <c r="C68" i="2"/>
  <c r="D68" i="2"/>
  <c r="D68" i="5" s="1"/>
  <c r="B69" i="2"/>
  <c r="B69" i="5" s="1"/>
  <c r="C69" i="2"/>
  <c r="C69" i="5" s="1"/>
  <c r="D69" i="2"/>
  <c r="B70" i="2"/>
  <c r="B70" i="5" s="1"/>
  <c r="C70" i="2"/>
  <c r="C70" i="5" s="1"/>
  <c r="D70" i="2"/>
  <c r="D70" i="5" s="1"/>
  <c r="A67" i="2"/>
  <c r="A67" i="5" s="1"/>
  <c r="A68" i="2"/>
  <c r="A68" i="5" s="1"/>
  <c r="A69" i="2"/>
  <c r="A69" i="5" s="1"/>
  <c r="A70" i="2"/>
  <c r="A66" i="2"/>
  <c r="B61" i="2"/>
  <c r="B61" i="5" s="1"/>
  <c r="C61" i="2"/>
  <c r="C61" i="5" s="1"/>
  <c r="D61" i="2"/>
  <c r="D61" i="5" s="1"/>
  <c r="B62" i="2"/>
  <c r="B62" i="5" s="1"/>
  <c r="C62" i="2"/>
  <c r="C62" i="5" s="1"/>
  <c r="D62" i="2"/>
  <c r="D62" i="5" s="1"/>
  <c r="B63" i="2"/>
  <c r="B63" i="5" s="1"/>
  <c r="C63" i="2"/>
  <c r="C63" i="5" s="1"/>
  <c r="D63" i="2"/>
  <c r="D63" i="5" s="1"/>
  <c r="B64" i="2"/>
  <c r="B64" i="5" s="1"/>
  <c r="C64" i="2"/>
  <c r="C64" i="5" s="1"/>
  <c r="D64" i="2"/>
  <c r="B65" i="2"/>
  <c r="B65" i="5" s="1"/>
  <c r="C65" i="2"/>
  <c r="C65" i="5" s="1"/>
  <c r="D65" i="2"/>
  <c r="D65" i="5" s="1"/>
  <c r="A62" i="2"/>
  <c r="A63" i="2"/>
  <c r="A63" i="5" s="1"/>
  <c r="A64" i="2"/>
  <c r="A64" i="5" s="1"/>
  <c r="A65" i="2"/>
  <c r="A65" i="5" s="1"/>
  <c r="B51" i="2"/>
  <c r="B51" i="5" s="1"/>
  <c r="C51" i="2"/>
  <c r="C51" i="5" s="1"/>
  <c r="D51" i="2"/>
  <c r="B52" i="2"/>
  <c r="C52" i="2"/>
  <c r="D52" i="2"/>
  <c r="D52" i="5" s="1"/>
  <c r="B53" i="2"/>
  <c r="B53" i="5" s="1"/>
  <c r="C53" i="2"/>
  <c r="D53" i="2"/>
  <c r="D53" i="5" s="1"/>
  <c r="B54" i="2"/>
  <c r="B54" i="5" s="1"/>
  <c r="C54" i="2"/>
  <c r="D54" i="2"/>
  <c r="B55" i="2"/>
  <c r="B55" i="5" s="1"/>
  <c r="C55" i="2"/>
  <c r="C55" i="5" s="1"/>
  <c r="D55" i="2"/>
  <c r="D55" i="5" s="1"/>
  <c r="A52" i="2"/>
  <c r="A53" i="2"/>
  <c r="A54" i="2"/>
  <c r="A55" i="2"/>
  <c r="F55" i="2" s="1"/>
  <c r="A51" i="2"/>
  <c r="B56" i="2"/>
  <c r="C56" i="2"/>
  <c r="C56" i="5" s="1"/>
  <c r="D56" i="2"/>
  <c r="B57" i="2"/>
  <c r="C57" i="2"/>
  <c r="C57" i="5" s="1"/>
  <c r="D57" i="2"/>
  <c r="D57" i="5" s="1"/>
  <c r="B58" i="2"/>
  <c r="B58" i="5" s="1"/>
  <c r="C58" i="2"/>
  <c r="D58" i="2"/>
  <c r="B59" i="2"/>
  <c r="B59" i="5" s="1"/>
  <c r="C59" i="2"/>
  <c r="C59" i="5" s="1"/>
  <c r="D59" i="2"/>
  <c r="B60" i="2"/>
  <c r="B60" i="5" s="1"/>
  <c r="C60" i="2"/>
  <c r="C60" i="5" s="1"/>
  <c r="D60" i="2"/>
  <c r="A57" i="2"/>
  <c r="A58" i="2"/>
  <c r="A59" i="2"/>
  <c r="A60" i="2"/>
  <c r="F60" i="2" s="1"/>
  <c r="A56" i="2"/>
  <c r="B46" i="2"/>
  <c r="B46" i="5" s="1"/>
  <c r="C46" i="2"/>
  <c r="C46" i="5" s="1"/>
  <c r="D46" i="2"/>
  <c r="D46" i="5" s="1"/>
  <c r="B47" i="2"/>
  <c r="B47" i="5" s="1"/>
  <c r="C47" i="2"/>
  <c r="C47" i="5" s="1"/>
  <c r="D47" i="2"/>
  <c r="D47" i="5" s="1"/>
  <c r="B48" i="2"/>
  <c r="B48" i="5" s="1"/>
  <c r="C48" i="2"/>
  <c r="C48" i="5" s="1"/>
  <c r="D48" i="2"/>
  <c r="B49" i="2"/>
  <c r="B49" i="5" s="1"/>
  <c r="C49" i="2"/>
  <c r="D49" i="2"/>
  <c r="B50" i="2"/>
  <c r="B50" i="5" s="1"/>
  <c r="C50" i="2"/>
  <c r="C50" i="5" s="1"/>
  <c r="D50" i="2"/>
  <c r="A47" i="2"/>
  <c r="A48" i="2"/>
  <c r="A49" i="2"/>
  <c r="A50" i="2"/>
  <c r="F50" i="2" s="1"/>
  <c r="A46" i="2"/>
  <c r="A41" i="2"/>
  <c r="B41" i="2"/>
  <c r="C41" i="2"/>
  <c r="D41" i="2"/>
  <c r="B42" i="2"/>
  <c r="C42" i="2"/>
  <c r="C42" i="5" s="1"/>
  <c r="D42" i="2"/>
  <c r="D42" i="5" s="1"/>
  <c r="B43" i="2"/>
  <c r="C43" i="2"/>
  <c r="D43" i="2"/>
  <c r="D43" i="5" s="1"/>
  <c r="B44" i="2"/>
  <c r="C44" i="2"/>
  <c r="D44" i="2"/>
  <c r="B45" i="2"/>
  <c r="B45" i="5" s="1"/>
  <c r="C45" i="2"/>
  <c r="D45" i="2"/>
  <c r="A42" i="2"/>
  <c r="A43" i="2"/>
  <c r="A44" i="2"/>
  <c r="A45" i="2"/>
  <c r="B31" i="5"/>
  <c r="C31" i="5"/>
  <c r="C32" i="5"/>
  <c r="D32" i="5"/>
  <c r="D33" i="5"/>
  <c r="B34" i="5"/>
  <c r="B35" i="5"/>
  <c r="C35" i="5"/>
  <c r="A33" i="5"/>
  <c r="A34" i="5"/>
  <c r="A31" i="2"/>
  <c r="B36" i="5"/>
  <c r="C37" i="5"/>
  <c r="D38" i="5"/>
  <c r="B40" i="5"/>
  <c r="A38" i="5"/>
  <c r="A36" i="2"/>
  <c r="B26" i="5"/>
  <c r="D26" i="5"/>
  <c r="C27" i="5"/>
  <c r="D28" i="5"/>
  <c r="B30" i="5"/>
  <c r="C30" i="5"/>
  <c r="A27" i="5"/>
  <c r="A28" i="5"/>
  <c r="A26" i="2"/>
  <c r="A21" i="2"/>
  <c r="A21" i="5" s="1"/>
  <c r="A16" i="3"/>
  <c r="A16" i="4" s="1"/>
  <c r="A11" i="3"/>
  <c r="A11" i="4" s="1"/>
  <c r="A6" i="3"/>
  <c r="A6" i="4" s="1"/>
  <c r="A1" i="3"/>
  <c r="A1" i="4" s="1"/>
  <c r="D60" i="3"/>
  <c r="D60" i="4" s="1"/>
  <c r="C60" i="3"/>
  <c r="C60" i="4" s="1"/>
  <c r="B60" i="3"/>
  <c r="B60" i="4" s="1"/>
  <c r="A60" i="3"/>
  <c r="A60" i="4" s="1"/>
  <c r="D59" i="3"/>
  <c r="D59" i="4" s="1"/>
  <c r="C59" i="3"/>
  <c r="C59" i="4" s="1"/>
  <c r="B59" i="3"/>
  <c r="B59" i="4" s="1"/>
  <c r="A59" i="3"/>
  <c r="A59" i="4" s="1"/>
  <c r="D58" i="3"/>
  <c r="D58" i="4" s="1"/>
  <c r="C58" i="3"/>
  <c r="C58" i="4" s="1"/>
  <c r="B58" i="3"/>
  <c r="B58" i="4" s="1"/>
  <c r="A58" i="3"/>
  <c r="A58" i="4" s="1"/>
  <c r="D57" i="3"/>
  <c r="D57" i="4" s="1"/>
  <c r="C57" i="3"/>
  <c r="C57" i="4" s="1"/>
  <c r="B57" i="3"/>
  <c r="B57" i="4" s="1"/>
  <c r="A57" i="3"/>
  <c r="A57" i="4" s="1"/>
  <c r="D56" i="3"/>
  <c r="D56" i="4" s="1"/>
  <c r="C56" i="3"/>
  <c r="C56" i="4" s="1"/>
  <c r="B56" i="3"/>
  <c r="B56" i="4" s="1"/>
  <c r="A56" i="3"/>
  <c r="A56" i="4" s="1"/>
  <c r="D55" i="3"/>
  <c r="D55" i="4" s="1"/>
  <c r="C55" i="3"/>
  <c r="C55" i="4" s="1"/>
  <c r="B55" i="3"/>
  <c r="B55" i="4" s="1"/>
  <c r="A55" i="3"/>
  <c r="A55" i="4" s="1"/>
  <c r="D54" i="3"/>
  <c r="D54" i="4" s="1"/>
  <c r="C54" i="3"/>
  <c r="C54" i="4" s="1"/>
  <c r="B54" i="3"/>
  <c r="B54" i="4" s="1"/>
  <c r="A54" i="3"/>
  <c r="A54" i="4" s="1"/>
  <c r="D53" i="3"/>
  <c r="D53" i="4" s="1"/>
  <c r="C53" i="3"/>
  <c r="C53" i="4" s="1"/>
  <c r="B53" i="3"/>
  <c r="B53" i="4" s="1"/>
  <c r="A53" i="3"/>
  <c r="A53" i="4" s="1"/>
  <c r="D52" i="3"/>
  <c r="D52" i="4" s="1"/>
  <c r="C52" i="3"/>
  <c r="C52" i="4" s="1"/>
  <c r="B52" i="3"/>
  <c r="B52" i="4" s="1"/>
  <c r="A52" i="3"/>
  <c r="A52" i="4" s="1"/>
  <c r="D51" i="3"/>
  <c r="D51" i="4" s="1"/>
  <c r="C51" i="3"/>
  <c r="C51" i="4" s="1"/>
  <c r="B51" i="3"/>
  <c r="B51" i="4" s="1"/>
  <c r="A51" i="3"/>
  <c r="A51" i="4" s="1"/>
  <c r="D50" i="3"/>
  <c r="D50" i="4" s="1"/>
  <c r="C50" i="3"/>
  <c r="C50" i="4" s="1"/>
  <c r="B50" i="3"/>
  <c r="B50" i="4" s="1"/>
  <c r="A50" i="3"/>
  <c r="A50" i="4" s="1"/>
  <c r="D49" i="3"/>
  <c r="D49" i="4" s="1"/>
  <c r="C49" i="3"/>
  <c r="C49" i="4" s="1"/>
  <c r="B49" i="3"/>
  <c r="B49" i="4" s="1"/>
  <c r="A49" i="3"/>
  <c r="A49" i="4" s="1"/>
  <c r="D48" i="3"/>
  <c r="D48" i="4" s="1"/>
  <c r="C48" i="3"/>
  <c r="C48" i="4" s="1"/>
  <c r="B48" i="3"/>
  <c r="B48" i="4" s="1"/>
  <c r="A48" i="3"/>
  <c r="A48" i="4" s="1"/>
  <c r="D47" i="3"/>
  <c r="D47" i="4" s="1"/>
  <c r="C47" i="3"/>
  <c r="C47" i="4" s="1"/>
  <c r="B47" i="3"/>
  <c r="B47" i="4" s="1"/>
  <c r="A47" i="3"/>
  <c r="A47" i="4" s="1"/>
  <c r="D46" i="3"/>
  <c r="D46" i="4" s="1"/>
  <c r="C46" i="3"/>
  <c r="C46" i="4" s="1"/>
  <c r="B46" i="3"/>
  <c r="B46" i="4" s="1"/>
  <c r="A46" i="3"/>
  <c r="A46" i="4" s="1"/>
  <c r="D45" i="3"/>
  <c r="D45" i="4" s="1"/>
  <c r="C45" i="3"/>
  <c r="C45" i="4" s="1"/>
  <c r="B45" i="3"/>
  <c r="B45" i="4" s="1"/>
  <c r="A45" i="3"/>
  <c r="A45" i="4" s="1"/>
  <c r="D44" i="3"/>
  <c r="D44" i="4" s="1"/>
  <c r="C44" i="3"/>
  <c r="C44" i="4" s="1"/>
  <c r="B44" i="3"/>
  <c r="B44" i="4" s="1"/>
  <c r="A44" i="3"/>
  <c r="A44" i="4" s="1"/>
  <c r="D43" i="3"/>
  <c r="D43" i="4" s="1"/>
  <c r="C43" i="3"/>
  <c r="C43" i="4" s="1"/>
  <c r="B43" i="3"/>
  <c r="B43" i="4" s="1"/>
  <c r="A43" i="3"/>
  <c r="A43" i="4" s="1"/>
  <c r="D42" i="3"/>
  <c r="D42" i="4" s="1"/>
  <c r="C42" i="3"/>
  <c r="C42" i="4" s="1"/>
  <c r="B42" i="3"/>
  <c r="B42" i="4" s="1"/>
  <c r="A42" i="3"/>
  <c r="A42" i="4" s="1"/>
  <c r="D41" i="3"/>
  <c r="D41" i="4" s="1"/>
  <c r="C41" i="3"/>
  <c r="C41" i="4" s="1"/>
  <c r="B41" i="3"/>
  <c r="B41" i="4" s="1"/>
  <c r="A41" i="3"/>
  <c r="A41" i="4" s="1"/>
  <c r="D40" i="3"/>
  <c r="D40" i="4" s="1"/>
  <c r="C40" i="3"/>
  <c r="C40" i="4" s="1"/>
  <c r="B40" i="3"/>
  <c r="B40" i="4" s="1"/>
  <c r="A40" i="3"/>
  <c r="A40" i="4" s="1"/>
  <c r="D39" i="3"/>
  <c r="D39" i="4" s="1"/>
  <c r="C39" i="3"/>
  <c r="C39" i="4" s="1"/>
  <c r="B39" i="3"/>
  <c r="B39" i="4" s="1"/>
  <c r="A39" i="3"/>
  <c r="A39" i="4" s="1"/>
  <c r="D38" i="3"/>
  <c r="D38" i="4" s="1"/>
  <c r="C38" i="3"/>
  <c r="C38" i="4" s="1"/>
  <c r="B38" i="3"/>
  <c r="B38" i="4" s="1"/>
  <c r="A38" i="3"/>
  <c r="A38" i="4" s="1"/>
  <c r="D37" i="3"/>
  <c r="D37" i="4" s="1"/>
  <c r="C37" i="3"/>
  <c r="C37" i="4" s="1"/>
  <c r="B37" i="3"/>
  <c r="B37" i="4" s="1"/>
  <c r="A37" i="3"/>
  <c r="A37" i="4" s="1"/>
  <c r="D36" i="3"/>
  <c r="D36" i="4" s="1"/>
  <c r="C36" i="3"/>
  <c r="C36" i="4" s="1"/>
  <c r="B36" i="3"/>
  <c r="B36" i="4" s="1"/>
  <c r="A36" i="3"/>
  <c r="A36" i="4" s="1"/>
  <c r="D35" i="3"/>
  <c r="D35" i="4" s="1"/>
  <c r="C35" i="3"/>
  <c r="C35" i="4" s="1"/>
  <c r="B35" i="3"/>
  <c r="B35" i="4" s="1"/>
  <c r="A35" i="3"/>
  <c r="A35" i="4" s="1"/>
  <c r="D34" i="3"/>
  <c r="D34" i="4" s="1"/>
  <c r="C34" i="3"/>
  <c r="C34" i="4" s="1"/>
  <c r="B34" i="3"/>
  <c r="B34" i="4" s="1"/>
  <c r="A34" i="3"/>
  <c r="A34" i="4" s="1"/>
  <c r="D33" i="3"/>
  <c r="D33" i="4" s="1"/>
  <c r="C33" i="3"/>
  <c r="C33" i="4" s="1"/>
  <c r="B33" i="3"/>
  <c r="B33" i="4" s="1"/>
  <c r="A33" i="3"/>
  <c r="A33" i="4" s="1"/>
  <c r="D32" i="3"/>
  <c r="D32" i="4" s="1"/>
  <c r="C32" i="3"/>
  <c r="C32" i="4" s="1"/>
  <c r="B32" i="3"/>
  <c r="B32" i="4" s="1"/>
  <c r="A32" i="3"/>
  <c r="A32" i="4" s="1"/>
  <c r="D31" i="3"/>
  <c r="D31" i="4" s="1"/>
  <c r="C31" i="3"/>
  <c r="C31" i="4" s="1"/>
  <c r="B31" i="3"/>
  <c r="B31" i="4" s="1"/>
  <c r="A31" i="3"/>
  <c r="A31" i="4" s="1"/>
  <c r="D30" i="3"/>
  <c r="D30" i="4" s="1"/>
  <c r="C30" i="3"/>
  <c r="C30" i="4" s="1"/>
  <c r="B30" i="3"/>
  <c r="B30" i="4" s="1"/>
  <c r="A30" i="3"/>
  <c r="A30" i="4" s="1"/>
  <c r="D29" i="3"/>
  <c r="D29" i="4" s="1"/>
  <c r="C29" i="3"/>
  <c r="C29" i="4" s="1"/>
  <c r="B29" i="3"/>
  <c r="B29" i="4" s="1"/>
  <c r="A29" i="3"/>
  <c r="A29" i="4" s="1"/>
  <c r="D28" i="3"/>
  <c r="D28" i="4" s="1"/>
  <c r="C28" i="3"/>
  <c r="C28" i="4" s="1"/>
  <c r="B28" i="3"/>
  <c r="B28" i="4" s="1"/>
  <c r="A28" i="3"/>
  <c r="A28" i="4" s="1"/>
  <c r="D27" i="3"/>
  <c r="D27" i="4" s="1"/>
  <c r="C27" i="3"/>
  <c r="C27" i="4" s="1"/>
  <c r="B27" i="3"/>
  <c r="B27" i="4" s="1"/>
  <c r="A27" i="3"/>
  <c r="A27" i="4" s="1"/>
  <c r="D26" i="3"/>
  <c r="D26" i="4" s="1"/>
  <c r="C26" i="3"/>
  <c r="C26" i="4" s="1"/>
  <c r="B26" i="3"/>
  <c r="B26" i="4" s="1"/>
  <c r="A26" i="3"/>
  <c r="A26" i="4" s="1"/>
  <c r="D25" i="3"/>
  <c r="D25" i="4" s="1"/>
  <c r="C25" i="3"/>
  <c r="C25" i="4" s="1"/>
  <c r="B25" i="3"/>
  <c r="B25" i="4" s="1"/>
  <c r="A25" i="3"/>
  <c r="A25" i="4" s="1"/>
  <c r="D24" i="3"/>
  <c r="D24" i="4" s="1"/>
  <c r="C24" i="3"/>
  <c r="C24" i="4" s="1"/>
  <c r="B24" i="3"/>
  <c r="B24" i="4" s="1"/>
  <c r="A24" i="3"/>
  <c r="A24" i="4" s="1"/>
  <c r="D23" i="3"/>
  <c r="D23" i="4" s="1"/>
  <c r="C23" i="3"/>
  <c r="C23" i="4" s="1"/>
  <c r="B23" i="3"/>
  <c r="B23" i="4" s="1"/>
  <c r="A23" i="3"/>
  <c r="A23" i="4" s="1"/>
  <c r="D22" i="3"/>
  <c r="D22" i="4" s="1"/>
  <c r="C22" i="3"/>
  <c r="C22" i="4" s="1"/>
  <c r="B22" i="3"/>
  <c r="B22" i="4" s="1"/>
  <c r="A22" i="3"/>
  <c r="A22" i="4" s="1"/>
  <c r="D21" i="3"/>
  <c r="D21" i="4" s="1"/>
  <c r="C21" i="3"/>
  <c r="C21" i="4" s="1"/>
  <c r="B21" i="3"/>
  <c r="B21" i="4" s="1"/>
  <c r="A21" i="3"/>
  <c r="A21" i="4" s="1"/>
  <c r="A6" i="2"/>
  <c r="A6" i="5" s="1"/>
  <c r="B16" i="2"/>
  <c r="C16" i="2"/>
  <c r="D16" i="2"/>
  <c r="B17" i="2"/>
  <c r="C17" i="2"/>
  <c r="D17" i="2"/>
  <c r="D17" i="5" s="1"/>
  <c r="B18" i="2"/>
  <c r="C18" i="2"/>
  <c r="D18" i="2"/>
  <c r="B19" i="2"/>
  <c r="C19" i="2"/>
  <c r="D19" i="2"/>
  <c r="B20" i="2"/>
  <c r="B20" i="5" s="1"/>
  <c r="C20" i="2"/>
  <c r="C20" i="5" s="1"/>
  <c r="D20" i="2"/>
  <c r="A17" i="2"/>
  <c r="A18" i="2"/>
  <c r="A19" i="2"/>
  <c r="A20" i="2"/>
  <c r="A16" i="2"/>
  <c r="A16" i="5" s="1"/>
  <c r="B11" i="2"/>
  <c r="B11" i="5" s="1"/>
  <c r="C11" i="2"/>
  <c r="C11" i="5" s="1"/>
  <c r="D11" i="2"/>
  <c r="D11" i="5" s="1"/>
  <c r="B12" i="2"/>
  <c r="B12" i="5" s="1"/>
  <c r="C12" i="2"/>
  <c r="D12" i="2"/>
  <c r="D12" i="5" s="1"/>
  <c r="B13" i="2"/>
  <c r="B13" i="5" s="1"/>
  <c r="C13" i="2"/>
  <c r="C13" i="5" s="1"/>
  <c r="D13" i="2"/>
  <c r="B14" i="2"/>
  <c r="B14" i="5" s="1"/>
  <c r="C14" i="2"/>
  <c r="C14" i="5" s="1"/>
  <c r="D14" i="2"/>
  <c r="D14" i="5" s="1"/>
  <c r="B15" i="2"/>
  <c r="C15" i="2"/>
  <c r="C15" i="5" s="1"/>
  <c r="D15" i="2"/>
  <c r="D15" i="5" s="1"/>
  <c r="A12" i="2"/>
  <c r="A13" i="2"/>
  <c r="A14" i="2"/>
  <c r="A14" i="5" s="1"/>
  <c r="A15" i="2"/>
  <c r="A15" i="5" s="1"/>
  <c r="A11" i="2"/>
  <c r="A11" i="5" s="1"/>
  <c r="B6" i="2"/>
  <c r="C6" i="2"/>
  <c r="C6" i="5" s="1"/>
  <c r="D6" i="2"/>
  <c r="D6" i="5" s="1"/>
  <c r="B7" i="2"/>
  <c r="B7" i="5" s="1"/>
  <c r="C7" i="2"/>
  <c r="C7" i="5" s="1"/>
  <c r="D7" i="2"/>
  <c r="B8" i="2"/>
  <c r="B8" i="5" s="1"/>
  <c r="C8" i="2"/>
  <c r="C8" i="5" s="1"/>
  <c r="D8" i="2"/>
  <c r="B9" i="2"/>
  <c r="B9" i="5" s="1"/>
  <c r="C9" i="2"/>
  <c r="C9" i="5" s="1"/>
  <c r="D9" i="2"/>
  <c r="D9" i="5" s="1"/>
  <c r="B10" i="2"/>
  <c r="B10" i="5" s="1"/>
  <c r="C10" i="2"/>
  <c r="C10" i="5" s="1"/>
  <c r="D10" i="2"/>
  <c r="D10" i="5" s="1"/>
  <c r="A7" i="2"/>
  <c r="A7" i="5" s="1"/>
  <c r="A8" i="2"/>
  <c r="A9" i="2"/>
  <c r="A10" i="2"/>
  <c r="A10" i="5" s="1"/>
  <c r="D5" i="2"/>
  <c r="D5" i="5" s="1"/>
  <c r="C5" i="2"/>
  <c r="C5" i="5" s="1"/>
  <c r="B5" i="2"/>
  <c r="B5" i="5" s="1"/>
  <c r="A5" i="2"/>
  <c r="D4" i="2"/>
  <c r="D4" i="5" s="1"/>
  <c r="C4" i="2"/>
  <c r="C4" i="5" s="1"/>
  <c r="B4" i="2"/>
  <c r="B4" i="5" s="1"/>
  <c r="A4" i="2"/>
  <c r="D3" i="2"/>
  <c r="D3" i="5" s="1"/>
  <c r="C3" i="2"/>
  <c r="C3" i="5" s="1"/>
  <c r="B3" i="2"/>
  <c r="B3" i="5" s="1"/>
  <c r="A3" i="2"/>
  <c r="A3" i="5" s="1"/>
  <c r="D2" i="2"/>
  <c r="D2" i="5" s="1"/>
  <c r="C2" i="2"/>
  <c r="C2" i="5" s="1"/>
  <c r="B2" i="2"/>
  <c r="B2" i="5" s="1"/>
  <c r="A2" i="2"/>
  <c r="A2" i="5" s="1"/>
  <c r="D1" i="2"/>
  <c r="D1" i="5" s="1"/>
  <c r="C1" i="2"/>
  <c r="C1" i="5" s="1"/>
  <c r="B1" i="2"/>
  <c r="B1" i="5" s="1"/>
  <c r="A1" i="2"/>
  <c r="F45" i="2" l="1"/>
  <c r="F46" i="2"/>
  <c r="F47" i="2"/>
  <c r="F47" i="5" s="1"/>
  <c r="F56" i="2"/>
  <c r="F57" i="2"/>
  <c r="F51" i="2"/>
  <c r="F52" i="2"/>
  <c r="A44" i="5"/>
  <c r="F44" i="2"/>
  <c r="A43" i="5"/>
  <c r="F43" i="2"/>
  <c r="A49" i="5"/>
  <c r="F49" i="2"/>
  <c r="A59" i="5"/>
  <c r="F59" i="2"/>
  <c r="A54" i="5"/>
  <c r="F54" i="2"/>
  <c r="F42" i="2"/>
  <c r="F41" i="2"/>
  <c r="A48" i="5"/>
  <c r="F48" i="2"/>
  <c r="F58" i="2"/>
  <c r="F53" i="2"/>
  <c r="F65" i="3"/>
  <c r="F65" i="4" s="1"/>
  <c r="F63" i="3"/>
  <c r="F63" i="4" s="1"/>
  <c r="F79" i="3"/>
  <c r="F79" i="4" s="1"/>
  <c r="F77" i="3"/>
  <c r="F77" i="4" s="1"/>
  <c r="F73" i="3"/>
  <c r="F73" i="4" s="1"/>
  <c r="F71" i="3"/>
  <c r="F71" i="4" s="1"/>
  <c r="F69" i="3"/>
  <c r="F69" i="4" s="1"/>
  <c r="F67" i="3"/>
  <c r="F67" i="4" s="1"/>
  <c r="F75" i="3"/>
  <c r="F75" i="4" s="1"/>
  <c r="F40" i="2"/>
  <c r="F64" i="3"/>
  <c r="F64" i="4" s="1"/>
  <c r="F62" i="3"/>
  <c r="F62" i="4" s="1"/>
  <c r="F80" i="3"/>
  <c r="F80" i="4" s="1"/>
  <c r="F78" i="3"/>
  <c r="F78" i="4" s="1"/>
  <c r="F76" i="3"/>
  <c r="F76" i="4" s="1"/>
  <c r="F74" i="3"/>
  <c r="F74" i="4" s="1"/>
  <c r="F72" i="3"/>
  <c r="F72" i="4" s="1"/>
  <c r="F70" i="3"/>
  <c r="F70" i="4" s="1"/>
  <c r="F68" i="3"/>
  <c r="F68" i="4" s="1"/>
  <c r="F66" i="3"/>
  <c r="F66" i="4" s="1"/>
  <c r="F61" i="3"/>
  <c r="F61" i="4" s="1"/>
  <c r="F23" i="2"/>
  <c r="I64" i="3"/>
  <c r="I64" i="4" s="1"/>
  <c r="F24" i="2"/>
  <c r="F32" i="2"/>
  <c r="F30" i="2"/>
  <c r="F28" i="2"/>
  <c r="F35" i="2"/>
  <c r="F71" i="2"/>
  <c r="D7" i="5"/>
  <c r="F64" i="2"/>
  <c r="F15" i="2"/>
  <c r="D8" i="5"/>
  <c r="F7" i="2"/>
  <c r="A41" i="5"/>
  <c r="D48" i="5"/>
  <c r="A58" i="5"/>
  <c r="D58" i="5"/>
  <c r="A9" i="5"/>
  <c r="F9" i="2"/>
  <c r="F4" i="2"/>
  <c r="A4" i="5"/>
  <c r="A5" i="5"/>
  <c r="F5" i="2"/>
  <c r="B56" i="5"/>
  <c r="A53" i="5"/>
  <c r="C52" i="5"/>
  <c r="A73" i="5"/>
  <c r="F73" i="2"/>
  <c r="A78" i="5"/>
  <c r="F78" i="2"/>
  <c r="F80" i="2"/>
  <c r="F72" i="2"/>
  <c r="A19" i="5"/>
  <c r="A26" i="5"/>
  <c r="F26" i="2"/>
  <c r="A36" i="5"/>
  <c r="A37" i="5"/>
  <c r="F37" i="2"/>
  <c r="A31" i="5"/>
  <c r="A32" i="5"/>
  <c r="D45" i="5"/>
  <c r="A51" i="5"/>
  <c r="F61" i="2"/>
  <c r="A62" i="5"/>
  <c r="F62" i="2"/>
  <c r="F62" i="5" s="1"/>
  <c r="F66" i="2"/>
  <c r="A77" i="5"/>
  <c r="F77" i="2"/>
  <c r="F79" i="2"/>
  <c r="F63" i="2"/>
  <c r="F39" i="2"/>
  <c r="F31" i="2"/>
  <c r="F14" i="2"/>
  <c r="F6" i="2"/>
  <c r="F8" i="2"/>
  <c r="A8" i="5"/>
  <c r="B6" i="5"/>
  <c r="A13" i="5"/>
  <c r="F13" i="2"/>
  <c r="B15" i="5"/>
  <c r="A18" i="5"/>
  <c r="F18" i="2"/>
  <c r="D18" i="5"/>
  <c r="C17" i="5"/>
  <c r="B16" i="5"/>
  <c r="C39" i="5"/>
  <c r="B38" i="5"/>
  <c r="F38" i="2"/>
  <c r="F70" i="2"/>
  <c r="D13" i="5"/>
  <c r="C12" i="5"/>
  <c r="F76" i="2"/>
  <c r="F68" i="2"/>
  <c r="F36" i="2"/>
  <c r="F20" i="2"/>
  <c r="F11" i="2"/>
  <c r="F3" i="2"/>
  <c r="F22" i="2"/>
  <c r="F25" i="2"/>
  <c r="F12" i="2"/>
  <c r="F17" i="2"/>
  <c r="F29" i="2"/>
  <c r="F75" i="2"/>
  <c r="F67" i="2"/>
  <c r="F27" i="2"/>
  <c r="F19" i="2"/>
  <c r="F10" i="2"/>
  <c r="F2" i="2"/>
  <c r="F74" i="2"/>
  <c r="F34" i="2"/>
  <c r="F16" i="2"/>
  <c r="F16" i="5" s="1"/>
  <c r="A12" i="5"/>
  <c r="F69" i="2"/>
  <c r="F65" i="2"/>
  <c r="F33" i="2"/>
  <c r="F21" i="2"/>
  <c r="C21" i="5"/>
  <c r="C22" i="5"/>
  <c r="C23" i="5"/>
  <c r="C24" i="5"/>
  <c r="C25" i="5"/>
  <c r="B19" i="5"/>
  <c r="C16" i="5"/>
  <c r="F5" i="3"/>
  <c r="F5" i="4" s="1"/>
  <c r="F15" i="3"/>
  <c r="F15" i="4" s="1"/>
  <c r="F20" i="3"/>
  <c r="F20" i="4" s="1"/>
  <c r="D29" i="5"/>
  <c r="C28" i="5"/>
  <c r="B27" i="5"/>
  <c r="D21" i="5"/>
  <c r="D22" i="5"/>
  <c r="D23" i="5"/>
  <c r="D24" i="5"/>
  <c r="D25" i="5"/>
  <c r="A30" i="5"/>
  <c r="D30" i="5"/>
  <c r="C29" i="5"/>
  <c r="B28" i="5"/>
  <c r="A40" i="5"/>
  <c r="D40" i="5"/>
  <c r="A1" i="5"/>
  <c r="A22" i="5"/>
  <c r="A23" i="5"/>
  <c r="A24" i="5"/>
  <c r="A25" i="5"/>
  <c r="A17" i="5"/>
  <c r="D19" i="5"/>
  <c r="C18" i="5"/>
  <c r="B17" i="5"/>
  <c r="B21" i="5"/>
  <c r="B22" i="5"/>
  <c r="B23" i="5"/>
  <c r="B24" i="5"/>
  <c r="B25" i="5"/>
  <c r="C33" i="5"/>
  <c r="B32" i="5"/>
  <c r="A42" i="5"/>
  <c r="C43" i="5"/>
  <c r="B42" i="5"/>
  <c r="D59" i="5"/>
  <c r="D51" i="5"/>
  <c r="D39" i="5"/>
  <c r="D35" i="5"/>
  <c r="D31" i="5"/>
  <c r="D27" i="5"/>
  <c r="A76" i="5"/>
  <c r="A60" i="5"/>
  <c r="B57" i="5"/>
  <c r="C54" i="5"/>
  <c r="A52" i="5"/>
  <c r="B41" i="5"/>
  <c r="A35" i="5"/>
  <c r="A45" i="5"/>
  <c r="C44" i="5"/>
  <c r="B43" i="5"/>
  <c r="A46" i="5"/>
  <c r="A47" i="5"/>
  <c r="C53" i="5"/>
  <c r="B52" i="5"/>
  <c r="A66" i="5"/>
  <c r="F68" i="5"/>
  <c r="C68" i="5"/>
  <c r="F71" i="5"/>
  <c r="A71" i="5"/>
  <c r="F74" i="5"/>
  <c r="F73" i="5"/>
  <c r="C73" i="5"/>
  <c r="F78" i="5"/>
  <c r="D74" i="5"/>
  <c r="D54" i="5"/>
  <c r="D50" i="5"/>
  <c r="D34" i="5"/>
  <c r="A57" i="5"/>
  <c r="C34" i="5"/>
  <c r="B29" i="5"/>
  <c r="A20" i="5"/>
  <c r="D20" i="5"/>
  <c r="C19" i="5"/>
  <c r="B18" i="5"/>
  <c r="D16" i="5"/>
  <c r="F21" i="3"/>
  <c r="F21" i="4" s="1"/>
  <c r="F22" i="3"/>
  <c r="F22" i="4" s="1"/>
  <c r="F24" i="3"/>
  <c r="F24" i="4" s="1"/>
  <c r="F25" i="3"/>
  <c r="F25" i="4" s="1"/>
  <c r="F26" i="3"/>
  <c r="F26" i="4" s="1"/>
  <c r="F28" i="3"/>
  <c r="F28" i="4" s="1"/>
  <c r="F29" i="3"/>
  <c r="F29" i="4" s="1"/>
  <c r="F30" i="3"/>
  <c r="F30" i="4" s="1"/>
  <c r="F32" i="3"/>
  <c r="F32" i="4" s="1"/>
  <c r="F33" i="3"/>
  <c r="F33" i="4" s="1"/>
  <c r="F34" i="3"/>
  <c r="F34" i="4" s="1"/>
  <c r="F36" i="3"/>
  <c r="F36" i="4" s="1"/>
  <c r="F37" i="3"/>
  <c r="F37" i="4" s="1"/>
  <c r="F38" i="3"/>
  <c r="F38" i="4" s="1"/>
  <c r="F40" i="3"/>
  <c r="F40" i="4" s="1"/>
  <c r="F41" i="3"/>
  <c r="F41" i="4" s="1"/>
  <c r="F42" i="3"/>
  <c r="F42" i="4" s="1"/>
  <c r="F44" i="3"/>
  <c r="F44" i="4" s="1"/>
  <c r="F45" i="3"/>
  <c r="F45" i="4" s="1"/>
  <c r="F46" i="3"/>
  <c r="F46" i="4" s="1"/>
  <c r="F48" i="3"/>
  <c r="F48" i="4" s="1"/>
  <c r="F49" i="3"/>
  <c r="F49" i="4" s="1"/>
  <c r="F50" i="3"/>
  <c r="F50" i="4" s="1"/>
  <c r="F52" i="3"/>
  <c r="F52" i="4" s="1"/>
  <c r="F53" i="3"/>
  <c r="F53" i="4" s="1"/>
  <c r="F54" i="3"/>
  <c r="F54" i="4" s="1"/>
  <c r="F56" i="3"/>
  <c r="F56" i="4" s="1"/>
  <c r="F57" i="3"/>
  <c r="F57" i="4" s="1"/>
  <c r="F58" i="3"/>
  <c r="F58" i="4" s="1"/>
  <c r="F60" i="3"/>
  <c r="F60" i="4" s="1"/>
  <c r="F2" i="3"/>
  <c r="F2" i="4" s="1"/>
  <c r="F6" i="3"/>
  <c r="F6" i="4" s="1"/>
  <c r="F7" i="3"/>
  <c r="F7" i="4" s="1"/>
  <c r="F12" i="3"/>
  <c r="F12" i="4" s="1"/>
  <c r="F16" i="3"/>
  <c r="F16" i="4" s="1"/>
  <c r="F17" i="3"/>
  <c r="F17" i="4" s="1"/>
  <c r="A29" i="5"/>
  <c r="A39" i="5"/>
  <c r="C40" i="5"/>
  <c r="B39" i="5"/>
  <c r="C36" i="5"/>
  <c r="C45" i="5"/>
  <c r="B44" i="5"/>
  <c r="C41" i="5"/>
  <c r="A50" i="5"/>
  <c r="C49" i="5"/>
  <c r="A55" i="5"/>
  <c r="A70" i="5"/>
  <c r="A75" i="5"/>
  <c r="D69" i="5"/>
  <c r="D49" i="5"/>
  <c r="D41" i="5"/>
  <c r="D37" i="5"/>
  <c r="A80" i="5"/>
  <c r="C58" i="5"/>
  <c r="A56" i="5"/>
  <c r="C38" i="5"/>
  <c r="B33" i="5"/>
  <c r="D64" i="5"/>
  <c r="D60" i="5"/>
  <c r="D56" i="5"/>
  <c r="D44" i="5"/>
  <c r="D36" i="5"/>
  <c r="A61" i="5"/>
  <c r="B37" i="5"/>
  <c r="C26" i="5"/>
  <c r="F31" i="3"/>
  <c r="F31" i="4" s="1"/>
  <c r="F39" i="3"/>
  <c r="F39" i="4" s="1"/>
  <c r="F51" i="3"/>
  <c r="F51" i="4" s="1"/>
  <c r="F59" i="3"/>
  <c r="F59" i="4" s="1"/>
  <c r="F3" i="3"/>
  <c r="F3" i="4" s="1"/>
  <c r="F19" i="3"/>
  <c r="F19" i="4" s="1"/>
  <c r="F18" i="3"/>
  <c r="F18" i="4" s="1"/>
  <c r="F9" i="3"/>
  <c r="F9" i="4" s="1"/>
  <c r="F14" i="3"/>
  <c r="F14" i="4" s="1"/>
  <c r="F23" i="3"/>
  <c r="F27" i="3"/>
  <c r="F27" i="4" s="1"/>
  <c r="F35" i="3"/>
  <c r="F35" i="4" s="1"/>
  <c r="F43" i="3"/>
  <c r="F43" i="4" s="1"/>
  <c r="F47" i="3"/>
  <c r="F47" i="4" s="1"/>
  <c r="F55" i="3"/>
  <c r="F55" i="4" s="1"/>
  <c r="F4" i="3"/>
  <c r="F4" i="4" s="1"/>
  <c r="F8" i="3"/>
  <c r="F8" i="4" s="1"/>
  <c r="F11" i="3"/>
  <c r="F11" i="4" s="1"/>
  <c r="F13" i="3"/>
  <c r="F13" i="4" s="1"/>
  <c r="F10" i="3"/>
  <c r="F10" i="4" s="1"/>
  <c r="F67" i="5"/>
  <c r="F72" i="5"/>
  <c r="F77" i="5"/>
  <c r="Q5" i="1"/>
  <c r="F1" i="3"/>
  <c r="F1" i="4" s="1"/>
  <c r="P7" i="1"/>
  <c r="P6" i="1"/>
  <c r="F1" i="2"/>
  <c r="F1" i="5" s="1"/>
  <c r="P5" i="1"/>
  <c r="I63" i="3" l="1"/>
  <c r="I63" i="4" s="1"/>
  <c r="I23" i="3"/>
  <c r="I23" i="4" s="1"/>
  <c r="F23" i="4"/>
  <c r="I61" i="3"/>
  <c r="I61" i="4" s="1"/>
  <c r="I21" i="2"/>
  <c r="I65" i="3"/>
  <c r="I65" i="4" s="1"/>
  <c r="I62" i="3"/>
  <c r="I62" i="4" s="1"/>
  <c r="I4" i="3"/>
  <c r="I4" i="4" s="1"/>
  <c r="F80" i="5"/>
  <c r="F79" i="5"/>
  <c r="F69" i="5"/>
  <c r="I25" i="2"/>
  <c r="I25" i="5" s="1"/>
  <c r="I43" i="3"/>
  <c r="I43" i="4" s="1"/>
  <c r="I1" i="3"/>
  <c r="I1" i="4" s="1"/>
  <c r="I41" i="3"/>
  <c r="I41" i="4" s="1"/>
  <c r="I25" i="3"/>
  <c r="I25" i="4" s="1"/>
  <c r="I43" i="2"/>
  <c r="I2" i="3"/>
  <c r="I2" i="4" s="1"/>
  <c r="I45" i="3"/>
  <c r="I45" i="4" s="1"/>
  <c r="I24" i="3"/>
  <c r="I24" i="4" s="1"/>
  <c r="I22" i="2"/>
  <c r="J22" i="2" s="1"/>
  <c r="I61" i="2"/>
  <c r="I44" i="2"/>
  <c r="I24" i="2"/>
  <c r="I23" i="2"/>
  <c r="I3" i="3"/>
  <c r="I3" i="4" s="1"/>
  <c r="I44" i="3"/>
  <c r="I44" i="4" s="1"/>
  <c r="I22" i="3"/>
  <c r="I22" i="4" s="1"/>
  <c r="I65" i="2"/>
  <c r="F75" i="5"/>
  <c r="F70" i="5"/>
  <c r="I63" i="2"/>
  <c r="F66" i="5"/>
  <c r="I41" i="2"/>
  <c r="I45" i="2"/>
  <c r="I42" i="3"/>
  <c r="I42" i="4" s="1"/>
  <c r="I21" i="3"/>
  <c r="I21" i="4" s="1"/>
  <c r="I5" i="3"/>
  <c r="I5" i="4" s="1"/>
  <c r="I21" i="5"/>
  <c r="F76" i="5"/>
  <c r="I62" i="2"/>
  <c r="I64" i="2"/>
  <c r="I42" i="2"/>
  <c r="I66" i="3"/>
  <c r="I66" i="4" s="1"/>
  <c r="F31" i="5"/>
  <c r="F23" i="5"/>
  <c r="F38" i="5"/>
  <c r="F26" i="5"/>
  <c r="F14" i="5"/>
  <c r="F6" i="5"/>
  <c r="F57" i="5"/>
  <c r="F17" i="5"/>
  <c r="F13" i="5"/>
  <c r="F9" i="5"/>
  <c r="F50" i="5"/>
  <c r="F56" i="5"/>
  <c r="F46" i="5"/>
  <c r="F44" i="5"/>
  <c r="F55" i="5"/>
  <c r="F40" i="5"/>
  <c r="F36" i="5"/>
  <c r="F32" i="5"/>
  <c r="F28" i="5"/>
  <c r="F24" i="5"/>
  <c r="F20" i="5"/>
  <c r="F12" i="5"/>
  <c r="F8" i="5"/>
  <c r="F4" i="5"/>
  <c r="F60" i="5"/>
  <c r="F54" i="5"/>
  <c r="F43" i="5"/>
  <c r="F45" i="5"/>
  <c r="F42" i="5"/>
  <c r="F52" i="5"/>
  <c r="F65" i="5"/>
  <c r="F61" i="5"/>
  <c r="F35" i="5"/>
  <c r="F27" i="5"/>
  <c r="F15" i="5"/>
  <c r="F11" i="5"/>
  <c r="F7" i="5"/>
  <c r="F3" i="5"/>
  <c r="F58" i="5"/>
  <c r="F53" i="5"/>
  <c r="F41" i="5"/>
  <c r="F51" i="5"/>
  <c r="F63" i="5"/>
  <c r="F39" i="5"/>
  <c r="F19" i="5"/>
  <c r="F30" i="5"/>
  <c r="F49" i="5"/>
  <c r="F59" i="5"/>
  <c r="F48" i="5"/>
  <c r="F34" i="5"/>
  <c r="F22" i="5"/>
  <c r="F18" i="5"/>
  <c r="F10" i="5"/>
  <c r="F2" i="5"/>
  <c r="F21" i="5"/>
  <c r="F37" i="5"/>
  <c r="F33" i="5"/>
  <c r="F29" i="5"/>
  <c r="F25" i="5"/>
  <c r="F5" i="5"/>
  <c r="F64" i="5"/>
  <c r="I1" i="2"/>
  <c r="I1" i="5" s="1"/>
  <c r="I5" i="2"/>
  <c r="I4" i="2"/>
  <c r="I3" i="2"/>
  <c r="I2" i="2"/>
  <c r="J23" i="2" l="1"/>
  <c r="J22" i="5"/>
  <c r="I61" i="5"/>
  <c r="I26" i="3"/>
  <c r="I26" i="4" s="1"/>
  <c r="I62" i="5"/>
  <c r="I42" i="5"/>
  <c r="I23" i="5"/>
  <c r="I26" i="2"/>
  <c r="I45" i="5"/>
  <c r="I63" i="5"/>
  <c r="I24" i="5"/>
  <c r="I22" i="5"/>
  <c r="I43" i="5"/>
  <c r="I46" i="3"/>
  <c r="I46" i="4" s="1"/>
  <c r="I65" i="5"/>
  <c r="I66" i="2"/>
  <c r="I64" i="5"/>
  <c r="I46" i="2"/>
  <c r="I41" i="5"/>
  <c r="I44" i="5"/>
  <c r="I6" i="3"/>
  <c r="I6" i="4" s="1"/>
  <c r="I5" i="5"/>
  <c r="I2" i="5"/>
  <c r="I3" i="5"/>
  <c r="I4" i="5"/>
  <c r="I6" i="2"/>
  <c r="I6" i="5" s="1"/>
  <c r="J23" i="5" l="1"/>
  <c r="J24" i="2"/>
  <c r="I26" i="5"/>
  <c r="I66" i="5"/>
  <c r="I46" i="5"/>
  <c r="J25" i="2" l="1"/>
  <c r="J25" i="5" s="1"/>
  <c r="J24" i="5"/>
</calcChain>
</file>

<file path=xl/sharedStrings.xml><?xml version="1.0" encoding="utf-8"?>
<sst xmlns="http://schemas.openxmlformats.org/spreadsheetml/2006/main" count="28" uniqueCount="9">
  <si>
    <t>i=0;  i=4;</t>
  </si>
  <si>
    <t>i=1;  i=5;</t>
  </si>
  <si>
    <t>i=2;  i=6;</t>
  </si>
  <si>
    <t>i=3;  i=7;</t>
  </si>
  <si>
    <t>pos_out</t>
  </si>
  <si>
    <t>ch_out</t>
  </si>
  <si>
    <t>somma</t>
  </si>
  <si>
    <t xml:space="preserve">2D6783F7 </t>
  </si>
  <si>
    <t xml:space="preserve">03DD2FE4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</si>
</sst>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074E-DEC8-4308-8A72-531CDC045EBC}">
  <sheetPr codeName="Foglio1"/>
  <dimension ref="A1:S128"/>
  <sheetViews>
    <sheetView tabSelected="1" workbookViewId="0">
      <selection sqref="A1:D128"/>
    </sheetView>
  </sheetViews>
  <sheetFormatPr defaultRowHeight="14.25"/>
  <cols>
    <col min="16" max="16" width="10.875" customWidth="1"/>
  </cols>
  <sheetData>
    <row r="1" spans="1:19">
      <c r="A1" s="1">
        <v>55</v>
      </c>
      <c r="B1" s="2">
        <v>246</v>
      </c>
      <c r="C1" s="1">
        <v>73</v>
      </c>
      <c r="D1" s="2">
        <v>86</v>
      </c>
      <c r="E1" s="27" t="s">
        <v>0</v>
      </c>
    </row>
    <row r="2" spans="1:19">
      <c r="A2" s="3">
        <v>110</v>
      </c>
      <c r="B2" s="4">
        <v>211</v>
      </c>
      <c r="C2" s="3">
        <v>170</v>
      </c>
      <c r="D2" s="4">
        <v>152</v>
      </c>
      <c r="E2" s="27"/>
    </row>
    <row r="3" spans="1:19">
      <c r="A3" s="3">
        <v>198</v>
      </c>
      <c r="B3" s="4">
        <v>59</v>
      </c>
      <c r="C3" s="3">
        <v>216</v>
      </c>
      <c r="D3" s="4">
        <v>137</v>
      </c>
      <c r="E3" s="27"/>
      <c r="O3" s="19"/>
      <c r="P3" s="28" t="s">
        <v>4</v>
      </c>
      <c r="Q3" s="28"/>
      <c r="R3" s="28"/>
      <c r="S3" s="28"/>
    </row>
    <row r="4" spans="1:19">
      <c r="A4" s="3">
        <v>1</v>
      </c>
      <c r="B4" s="4">
        <v>48</v>
      </c>
      <c r="C4" s="3">
        <v>165</v>
      </c>
      <c r="D4" s="4">
        <v>160</v>
      </c>
      <c r="E4" s="27"/>
      <c r="O4" s="19" t="s">
        <v>5</v>
      </c>
      <c r="P4" s="19">
        <v>0</v>
      </c>
      <c r="Q4" s="19">
        <v>1</v>
      </c>
      <c r="R4" s="19">
        <v>2</v>
      </c>
      <c r="S4" s="19">
        <v>3</v>
      </c>
    </row>
    <row r="5" spans="1:19">
      <c r="A5" s="5">
        <v>23</v>
      </c>
      <c r="B5" s="6">
        <v>102</v>
      </c>
      <c r="C5" s="5">
        <v>120</v>
      </c>
      <c r="D5" s="6">
        <v>86</v>
      </c>
      <c r="E5" s="27"/>
      <c r="O5" s="19">
        <v>0</v>
      </c>
      <c r="P5" s="19">
        <f>SUM(out_col0!A1:D20)</f>
        <v>1087855</v>
      </c>
      <c r="Q5">
        <f>SUM(out_col1!A1:D20)</f>
        <v>1146690</v>
      </c>
      <c r="R5" s="19"/>
      <c r="S5" s="19"/>
    </row>
    <row r="6" spans="1:19">
      <c r="A6" s="2">
        <v>3</v>
      </c>
      <c r="B6" s="1">
        <v>95</v>
      </c>
      <c r="C6" s="2">
        <v>246</v>
      </c>
      <c r="D6" s="1">
        <v>145</v>
      </c>
      <c r="E6" s="27"/>
      <c r="O6" s="19">
        <v>1</v>
      </c>
      <c r="P6" s="19">
        <f>SUM(out_col0!A21:D40)</f>
        <v>1313896</v>
      </c>
      <c r="Q6" s="19"/>
      <c r="R6" s="19"/>
      <c r="S6" s="19"/>
    </row>
    <row r="7" spans="1:19">
      <c r="A7" s="4">
        <v>120</v>
      </c>
      <c r="B7" s="3">
        <v>54</v>
      </c>
      <c r="C7" s="4">
        <v>123</v>
      </c>
      <c r="D7" s="3">
        <v>233</v>
      </c>
      <c r="E7" s="27"/>
      <c r="O7" s="19">
        <v>2</v>
      </c>
      <c r="P7" s="19">
        <f>SUM(out_col0!A41:D60)</f>
        <v>1292576</v>
      </c>
      <c r="Q7" s="19"/>
      <c r="R7" s="19"/>
      <c r="S7" s="19"/>
    </row>
    <row r="8" spans="1:19">
      <c r="A8" s="4">
        <v>254</v>
      </c>
      <c r="B8" s="3">
        <v>26</v>
      </c>
      <c r="C8" s="4">
        <v>134</v>
      </c>
      <c r="D8" s="3">
        <v>157</v>
      </c>
      <c r="E8" s="27"/>
      <c r="O8" s="19">
        <v>3</v>
      </c>
      <c r="P8" s="19"/>
      <c r="Q8" s="19"/>
      <c r="R8" s="19"/>
      <c r="S8" s="19"/>
    </row>
    <row r="9" spans="1:19">
      <c r="A9" s="4">
        <v>234</v>
      </c>
      <c r="B9" s="3">
        <v>99</v>
      </c>
      <c r="C9" s="4">
        <v>181</v>
      </c>
      <c r="D9" s="3">
        <v>48</v>
      </c>
      <c r="E9" s="27"/>
      <c r="O9" s="19">
        <v>4</v>
      </c>
      <c r="P9" s="19"/>
      <c r="Q9" s="19"/>
      <c r="R9" s="19"/>
      <c r="S9" s="19"/>
    </row>
    <row r="10" spans="1:19">
      <c r="A10" s="6">
        <v>65</v>
      </c>
      <c r="B10" s="5">
        <v>15</v>
      </c>
      <c r="C10" s="6">
        <v>74</v>
      </c>
      <c r="D10" s="5">
        <v>57</v>
      </c>
      <c r="E10" s="27"/>
      <c r="O10" s="19">
        <v>5</v>
      </c>
      <c r="P10" s="19"/>
      <c r="Q10" s="19"/>
      <c r="R10" s="19"/>
      <c r="S10" s="19"/>
    </row>
    <row r="11" spans="1:19">
      <c r="A11" s="1">
        <v>31</v>
      </c>
      <c r="B11" s="2">
        <v>79</v>
      </c>
      <c r="C11" s="1">
        <v>18</v>
      </c>
      <c r="D11" s="2">
        <v>71</v>
      </c>
      <c r="E11" s="27"/>
      <c r="O11" s="19">
        <v>6</v>
      </c>
      <c r="P11" s="19"/>
      <c r="Q11" s="19"/>
      <c r="R11" s="19"/>
      <c r="S11" s="19"/>
    </row>
    <row r="12" spans="1:19">
      <c r="A12" s="3">
        <v>118</v>
      </c>
      <c r="B12" s="4">
        <v>201</v>
      </c>
      <c r="C12" s="3">
        <v>21</v>
      </c>
      <c r="D12" s="4">
        <v>88</v>
      </c>
      <c r="E12" s="27"/>
      <c r="O12" s="19">
        <v>7</v>
      </c>
      <c r="P12" s="19"/>
      <c r="Q12" s="19"/>
      <c r="R12" s="19"/>
      <c r="S12" s="19"/>
    </row>
    <row r="13" spans="1:19">
      <c r="A13" s="3">
        <v>173</v>
      </c>
      <c r="B13" s="4">
        <v>66</v>
      </c>
      <c r="C13" s="3">
        <v>35</v>
      </c>
      <c r="D13" s="4">
        <v>182</v>
      </c>
      <c r="E13" s="27"/>
      <c r="O13" s="19">
        <v>8</v>
      </c>
      <c r="P13" s="19"/>
      <c r="Q13" s="19"/>
      <c r="R13" s="19"/>
      <c r="S13" s="19"/>
    </row>
    <row r="14" spans="1:19">
      <c r="A14" s="3">
        <v>183</v>
      </c>
      <c r="B14" s="4">
        <v>24</v>
      </c>
      <c r="C14" s="3">
        <v>115</v>
      </c>
      <c r="D14" s="4">
        <v>214</v>
      </c>
      <c r="E14" s="27"/>
    </row>
    <row r="15" spans="1:19">
      <c r="A15" s="5">
        <v>45</v>
      </c>
      <c r="B15" s="6">
        <v>103</v>
      </c>
      <c r="C15" s="5">
        <v>131</v>
      </c>
      <c r="D15" s="6">
        <v>247</v>
      </c>
      <c r="E15" s="27"/>
    </row>
    <row r="16" spans="1:19">
      <c r="A16" s="2">
        <v>3</v>
      </c>
      <c r="B16" s="1">
        <v>221</v>
      </c>
      <c r="C16" s="2">
        <v>47</v>
      </c>
      <c r="D16" s="1">
        <v>228</v>
      </c>
      <c r="E16" s="27"/>
    </row>
    <row r="17" spans="1:7">
      <c r="A17" s="4">
        <v>21</v>
      </c>
      <c r="B17" s="3">
        <v>86</v>
      </c>
      <c r="C17" s="4">
        <v>139</v>
      </c>
      <c r="D17" s="3">
        <v>183</v>
      </c>
      <c r="E17" s="27"/>
    </row>
    <row r="18" spans="1:7">
      <c r="A18" s="4">
        <v>98</v>
      </c>
      <c r="B18" s="3">
        <v>206</v>
      </c>
      <c r="C18" s="4">
        <v>97</v>
      </c>
      <c r="D18" s="3">
        <v>27</v>
      </c>
      <c r="E18" s="27"/>
    </row>
    <row r="19" spans="1:7">
      <c r="A19" s="4">
        <v>248</v>
      </c>
      <c r="B19" s="3">
        <v>117</v>
      </c>
      <c r="C19" s="4">
        <v>171</v>
      </c>
      <c r="D19" s="3">
        <v>144</v>
      </c>
      <c r="E19" s="27"/>
    </row>
    <row r="20" spans="1:7">
      <c r="A20" s="6">
        <v>159</v>
      </c>
      <c r="B20" s="5">
        <v>76</v>
      </c>
      <c r="C20" s="6">
        <v>96</v>
      </c>
      <c r="D20" s="5">
        <v>9</v>
      </c>
      <c r="E20" s="27"/>
    </row>
    <row r="21" spans="1:7">
      <c r="A21" s="1">
        <v>34</v>
      </c>
      <c r="B21" s="2">
        <v>190</v>
      </c>
      <c r="C21" s="1">
        <v>219</v>
      </c>
      <c r="D21" s="2">
        <v>56</v>
      </c>
      <c r="E21" s="27" t="s">
        <v>1</v>
      </c>
    </row>
    <row r="22" spans="1:7">
      <c r="A22" s="3">
        <v>157</v>
      </c>
      <c r="B22" s="4">
        <v>1</v>
      </c>
      <c r="C22" s="3">
        <v>216</v>
      </c>
      <c r="D22" s="4">
        <v>85</v>
      </c>
      <c r="E22" s="27"/>
    </row>
    <row r="23" spans="1:7">
      <c r="A23" s="3">
        <v>153</v>
      </c>
      <c r="B23" s="4">
        <v>148</v>
      </c>
      <c r="C23" s="3">
        <v>82</v>
      </c>
      <c r="D23" s="4">
        <v>155</v>
      </c>
      <c r="E23" s="27"/>
    </row>
    <row r="24" spans="1:7">
      <c r="A24" s="3">
        <v>73</v>
      </c>
      <c r="B24" s="4">
        <v>45</v>
      </c>
      <c r="C24" s="3">
        <v>10</v>
      </c>
      <c r="D24" s="4">
        <v>220</v>
      </c>
      <c r="E24" s="27"/>
    </row>
    <row r="25" spans="1:7">
      <c r="A25" s="5">
        <v>221</v>
      </c>
      <c r="B25" s="6">
        <v>93</v>
      </c>
      <c r="C25" s="5">
        <v>149</v>
      </c>
      <c r="D25" s="6">
        <v>234</v>
      </c>
      <c r="E25" s="27"/>
    </row>
    <row r="26" spans="1:7">
      <c r="A26" s="2">
        <v>122</v>
      </c>
      <c r="B26" s="1">
        <v>57</v>
      </c>
      <c r="C26" s="2">
        <v>91</v>
      </c>
      <c r="D26" s="1">
        <v>57</v>
      </c>
      <c r="E26" s="27"/>
    </row>
    <row r="27" spans="1:7">
      <c r="A27" s="4">
        <v>247</v>
      </c>
      <c r="B27" s="3">
        <v>2</v>
      </c>
      <c r="C27" s="4">
        <v>139</v>
      </c>
      <c r="D27" s="3">
        <v>233</v>
      </c>
      <c r="E27" s="27"/>
      <c r="G27">
        <f>mem_dec!A1*mem_dec!A82</f>
        <v>8525</v>
      </c>
    </row>
    <row r="28" spans="1:7">
      <c r="A28" s="4">
        <v>29</v>
      </c>
      <c r="B28" s="3">
        <v>202</v>
      </c>
      <c r="C28" s="4">
        <v>66</v>
      </c>
      <c r="D28" s="3">
        <v>104</v>
      </c>
      <c r="E28" s="27"/>
    </row>
    <row r="29" spans="1:7">
      <c r="A29" s="4">
        <v>182</v>
      </c>
      <c r="B29" s="3">
        <v>165</v>
      </c>
      <c r="C29" s="4">
        <v>187</v>
      </c>
      <c r="D29" s="3">
        <v>148</v>
      </c>
      <c r="E29" s="27"/>
    </row>
    <row r="30" spans="1:7">
      <c r="A30" s="6">
        <v>177</v>
      </c>
      <c r="B30" s="5">
        <v>249</v>
      </c>
      <c r="C30" s="6">
        <v>146</v>
      </c>
      <c r="D30" s="5">
        <v>234</v>
      </c>
      <c r="E30" s="27"/>
    </row>
    <row r="31" spans="1:7">
      <c r="A31" s="1">
        <v>94</v>
      </c>
      <c r="B31" s="2">
        <v>217</v>
      </c>
      <c r="C31" s="1">
        <v>59</v>
      </c>
      <c r="D31" s="2">
        <v>211</v>
      </c>
      <c r="E31" s="27"/>
    </row>
    <row r="32" spans="1:7">
      <c r="A32" s="3">
        <v>146</v>
      </c>
      <c r="B32" s="4">
        <v>113</v>
      </c>
      <c r="C32" s="3">
        <v>61</v>
      </c>
      <c r="D32" s="4">
        <v>144</v>
      </c>
      <c r="E32" s="27"/>
    </row>
    <row r="33" spans="1:5">
      <c r="A33" s="3">
        <v>203</v>
      </c>
      <c r="B33" s="4">
        <v>232</v>
      </c>
      <c r="C33" s="3">
        <v>100</v>
      </c>
      <c r="D33" s="4">
        <v>167</v>
      </c>
      <c r="E33" s="27"/>
    </row>
    <row r="34" spans="1:5">
      <c r="A34" s="3">
        <v>175</v>
      </c>
      <c r="B34" s="4">
        <v>226</v>
      </c>
      <c r="C34" s="3">
        <v>215</v>
      </c>
      <c r="D34" s="4">
        <v>226</v>
      </c>
      <c r="E34" s="27"/>
    </row>
    <row r="35" spans="1:5">
      <c r="A35" s="5">
        <v>30</v>
      </c>
      <c r="B35" s="6">
        <v>207</v>
      </c>
      <c r="C35" s="5">
        <v>147</v>
      </c>
      <c r="D35" s="6">
        <v>220</v>
      </c>
      <c r="E35" s="27"/>
    </row>
    <row r="36" spans="1:5">
      <c r="A36" s="2">
        <v>47</v>
      </c>
      <c r="B36" s="1">
        <v>59</v>
      </c>
      <c r="C36" s="2">
        <v>86</v>
      </c>
      <c r="D36" s="1">
        <v>37</v>
      </c>
      <c r="E36" s="27"/>
    </row>
    <row r="37" spans="1:5">
      <c r="A37" s="4">
        <v>10</v>
      </c>
      <c r="B37" s="3">
        <v>137</v>
      </c>
      <c r="C37" s="4">
        <v>85</v>
      </c>
      <c r="D37" s="3">
        <v>135</v>
      </c>
      <c r="E37" s="27"/>
    </row>
    <row r="38" spans="1:5">
      <c r="A38" s="4">
        <v>17</v>
      </c>
      <c r="B38" s="3">
        <v>235</v>
      </c>
      <c r="C38" s="4">
        <v>116</v>
      </c>
      <c r="D38" s="3">
        <v>77</v>
      </c>
      <c r="E38" s="27"/>
    </row>
    <row r="39" spans="1:5">
      <c r="A39" s="4">
        <v>35</v>
      </c>
      <c r="B39" s="3">
        <v>236</v>
      </c>
      <c r="C39" s="4">
        <v>77</v>
      </c>
      <c r="D39" s="3">
        <v>57</v>
      </c>
      <c r="E39" s="27"/>
    </row>
    <row r="40" spans="1:5">
      <c r="A40" s="6">
        <v>48</v>
      </c>
      <c r="B40" s="5">
        <v>77</v>
      </c>
      <c r="C40" s="6">
        <v>105</v>
      </c>
      <c r="D40" s="5">
        <v>61</v>
      </c>
      <c r="E40" s="27"/>
    </row>
    <row r="41" spans="1:5">
      <c r="A41" s="7">
        <v>60</v>
      </c>
      <c r="B41" s="8">
        <v>10</v>
      </c>
      <c r="C41" s="7">
        <v>235</v>
      </c>
      <c r="D41" s="8">
        <v>107</v>
      </c>
      <c r="E41" s="27" t="s">
        <v>2</v>
      </c>
    </row>
    <row r="42" spans="1:5">
      <c r="A42" s="9">
        <v>30</v>
      </c>
      <c r="B42" s="10">
        <v>49</v>
      </c>
      <c r="C42" s="9">
        <v>169</v>
      </c>
      <c r="D42" s="10">
        <v>194</v>
      </c>
      <c r="E42" s="27"/>
    </row>
    <row r="43" spans="1:5">
      <c r="A43" s="9">
        <v>95</v>
      </c>
      <c r="B43" s="10">
        <v>163</v>
      </c>
      <c r="C43" s="9">
        <v>71</v>
      </c>
      <c r="D43" s="10">
        <v>225</v>
      </c>
      <c r="E43" s="27"/>
    </row>
    <row r="44" spans="1:5">
      <c r="A44" s="9">
        <v>253</v>
      </c>
      <c r="B44" s="10">
        <v>241</v>
      </c>
      <c r="C44" s="9">
        <v>148</v>
      </c>
      <c r="D44" s="10">
        <v>58</v>
      </c>
      <c r="E44" s="27"/>
    </row>
    <row r="45" spans="1:5">
      <c r="A45" s="11">
        <v>242</v>
      </c>
      <c r="B45" s="12">
        <v>241</v>
      </c>
      <c r="C45" s="11">
        <v>145</v>
      </c>
      <c r="D45" s="12">
        <v>252</v>
      </c>
      <c r="E45" s="27"/>
    </row>
    <row r="46" spans="1:5">
      <c r="A46" s="8">
        <v>20</v>
      </c>
      <c r="B46" s="7">
        <v>216</v>
      </c>
      <c r="C46" s="8">
        <v>5</v>
      </c>
      <c r="D46" s="7">
        <v>116</v>
      </c>
      <c r="E46" s="27"/>
    </row>
    <row r="47" spans="1:5">
      <c r="A47" s="10">
        <v>237</v>
      </c>
      <c r="B47" s="9">
        <v>147</v>
      </c>
      <c r="C47" s="10">
        <v>34</v>
      </c>
      <c r="D47" s="9">
        <v>134</v>
      </c>
      <c r="E47" s="27"/>
    </row>
    <row r="48" spans="1:5">
      <c r="A48" s="10">
        <v>134</v>
      </c>
      <c r="B48" s="9">
        <v>25</v>
      </c>
      <c r="C48" s="10">
        <v>220</v>
      </c>
      <c r="D48" s="9">
        <v>11</v>
      </c>
      <c r="E48" s="27"/>
    </row>
    <row r="49" spans="1:5">
      <c r="A49" s="10">
        <v>158</v>
      </c>
      <c r="B49" s="9">
        <v>54</v>
      </c>
      <c r="C49" s="10">
        <v>141</v>
      </c>
      <c r="D49" s="9">
        <v>155</v>
      </c>
      <c r="E49" s="27"/>
    </row>
    <row r="50" spans="1:5">
      <c r="A50" s="12">
        <v>113</v>
      </c>
      <c r="B50" s="11">
        <v>145</v>
      </c>
      <c r="C50" s="12">
        <v>45</v>
      </c>
      <c r="D50" s="11">
        <v>216</v>
      </c>
      <c r="E50" s="27"/>
    </row>
    <row r="51" spans="1:5">
      <c r="A51" s="7">
        <v>95</v>
      </c>
      <c r="B51" s="8">
        <v>38</v>
      </c>
      <c r="C51" s="7">
        <v>191</v>
      </c>
      <c r="D51" s="8">
        <v>206</v>
      </c>
      <c r="E51" s="27"/>
    </row>
    <row r="52" spans="1:5">
      <c r="A52" s="9">
        <v>179</v>
      </c>
      <c r="B52" s="10">
        <v>253</v>
      </c>
      <c r="C52" s="9">
        <v>112</v>
      </c>
      <c r="D52" s="10">
        <v>144</v>
      </c>
      <c r="E52" s="27"/>
    </row>
    <row r="53" spans="1:5">
      <c r="A53" s="9">
        <v>80</v>
      </c>
      <c r="B53" s="10">
        <v>50</v>
      </c>
      <c r="C53" s="9">
        <v>51</v>
      </c>
      <c r="D53" s="10">
        <v>140</v>
      </c>
      <c r="E53" s="27"/>
    </row>
    <row r="54" spans="1:5">
      <c r="A54" s="9">
        <v>69</v>
      </c>
      <c r="B54" s="10">
        <v>176</v>
      </c>
      <c r="C54" s="9">
        <v>142</v>
      </c>
      <c r="D54" s="10">
        <v>254</v>
      </c>
      <c r="E54" s="27"/>
    </row>
    <row r="55" spans="1:5">
      <c r="A55" s="11">
        <v>219</v>
      </c>
      <c r="B55" s="12">
        <v>34</v>
      </c>
      <c r="C55" s="11">
        <v>112</v>
      </c>
      <c r="D55" s="12">
        <v>15</v>
      </c>
      <c r="E55" s="27"/>
    </row>
    <row r="56" spans="1:5">
      <c r="A56" s="8">
        <v>128</v>
      </c>
      <c r="B56" s="7">
        <v>4</v>
      </c>
      <c r="C56" s="8">
        <v>251</v>
      </c>
      <c r="D56" s="7">
        <v>21</v>
      </c>
      <c r="E56" s="27"/>
    </row>
    <row r="57" spans="1:5">
      <c r="A57" s="10">
        <v>47</v>
      </c>
      <c r="B57" s="9">
        <v>185</v>
      </c>
      <c r="C57" s="10">
        <v>43</v>
      </c>
      <c r="D57" s="9">
        <v>104</v>
      </c>
      <c r="E57" s="27"/>
    </row>
    <row r="58" spans="1:5">
      <c r="A58" s="10">
        <v>165</v>
      </c>
      <c r="B58" s="9">
        <v>24</v>
      </c>
      <c r="C58" s="10">
        <v>181</v>
      </c>
      <c r="D58" s="9">
        <v>116</v>
      </c>
      <c r="E58" s="27"/>
    </row>
    <row r="59" spans="1:5">
      <c r="A59" s="10">
        <v>88</v>
      </c>
      <c r="B59" s="9">
        <v>126</v>
      </c>
      <c r="C59" s="10">
        <v>157</v>
      </c>
      <c r="D59" s="9">
        <v>253</v>
      </c>
      <c r="E59" s="27"/>
    </row>
    <row r="60" spans="1:5">
      <c r="A60" s="12">
        <v>209</v>
      </c>
      <c r="B60" s="11">
        <v>145</v>
      </c>
      <c r="C60" s="12">
        <v>176</v>
      </c>
      <c r="D60" s="11">
        <v>232</v>
      </c>
      <c r="E60" s="27"/>
    </row>
    <row r="61" spans="1:5">
      <c r="A61" s="7">
        <v>152</v>
      </c>
      <c r="B61" s="8">
        <v>237</v>
      </c>
      <c r="C61" s="7">
        <v>37</v>
      </c>
      <c r="D61" s="8">
        <v>4</v>
      </c>
      <c r="E61" s="27" t="s">
        <v>3</v>
      </c>
    </row>
    <row r="62" spans="1:5">
      <c r="A62" s="9">
        <v>232</v>
      </c>
      <c r="B62" s="10">
        <v>145</v>
      </c>
      <c r="C62" s="9">
        <v>238</v>
      </c>
      <c r="D62" s="10">
        <v>108</v>
      </c>
      <c r="E62" s="27"/>
    </row>
    <row r="63" spans="1:5">
      <c r="A63" s="9">
        <v>235</v>
      </c>
      <c r="B63" s="10">
        <v>214</v>
      </c>
      <c r="C63" s="9">
        <v>166</v>
      </c>
      <c r="D63" s="10">
        <v>154</v>
      </c>
      <c r="E63" s="27"/>
    </row>
    <row r="64" spans="1:5">
      <c r="A64" s="9">
        <v>193</v>
      </c>
      <c r="B64" s="10">
        <v>243</v>
      </c>
      <c r="C64" s="9">
        <v>179</v>
      </c>
      <c r="D64" s="10">
        <v>81</v>
      </c>
      <c r="E64" s="27"/>
    </row>
    <row r="65" spans="1:5">
      <c r="A65" s="11">
        <v>193</v>
      </c>
      <c r="B65" s="12">
        <v>150</v>
      </c>
      <c r="C65" s="11">
        <v>128</v>
      </c>
      <c r="D65" s="12">
        <v>49</v>
      </c>
      <c r="E65" s="27"/>
    </row>
    <row r="66" spans="1:5">
      <c r="A66" s="8">
        <v>155</v>
      </c>
      <c r="B66" s="7">
        <v>68</v>
      </c>
      <c r="C66" s="8">
        <v>225</v>
      </c>
      <c r="D66" s="7">
        <v>199</v>
      </c>
      <c r="E66" s="27"/>
    </row>
    <row r="67" spans="1:5">
      <c r="A67" s="10">
        <v>94</v>
      </c>
      <c r="B67" s="9">
        <v>189</v>
      </c>
      <c r="C67" s="10">
        <v>115</v>
      </c>
      <c r="D67" s="9">
        <v>216</v>
      </c>
      <c r="E67" s="27"/>
    </row>
    <row r="68" spans="1:5">
      <c r="A68" s="10">
        <v>62</v>
      </c>
      <c r="B68" s="9">
        <v>27</v>
      </c>
      <c r="C68" s="10">
        <v>134</v>
      </c>
      <c r="D68" s="9">
        <v>21</v>
      </c>
      <c r="E68" s="27"/>
    </row>
    <row r="69" spans="1:5">
      <c r="A69" s="10">
        <v>60</v>
      </c>
      <c r="B69" s="9">
        <v>171</v>
      </c>
      <c r="C69" s="10">
        <v>82</v>
      </c>
      <c r="D69" s="9">
        <v>117</v>
      </c>
      <c r="E69" s="27"/>
    </row>
    <row r="70" spans="1:5">
      <c r="A70" s="12">
        <v>154</v>
      </c>
      <c r="B70" s="11">
        <v>191</v>
      </c>
      <c r="C70" s="12">
        <v>3</v>
      </c>
      <c r="D70" s="11">
        <v>128</v>
      </c>
      <c r="E70" s="27"/>
    </row>
    <row r="71" spans="1:5">
      <c r="A71" s="7">
        <v>61</v>
      </c>
      <c r="B71" s="8">
        <v>1</v>
      </c>
      <c r="C71" s="7">
        <v>228</v>
      </c>
      <c r="D71" s="8">
        <v>187</v>
      </c>
      <c r="E71" s="27"/>
    </row>
    <row r="72" spans="1:5">
      <c r="A72" s="9">
        <v>86</v>
      </c>
      <c r="B72" s="10">
        <v>218</v>
      </c>
      <c r="C72" s="9">
        <v>254</v>
      </c>
      <c r="D72" s="10">
        <v>107</v>
      </c>
      <c r="E72" s="27"/>
    </row>
    <row r="73" spans="1:5">
      <c r="A73" s="9">
        <v>79</v>
      </c>
      <c r="B73" s="10">
        <v>160</v>
      </c>
      <c r="C73" s="9">
        <v>175</v>
      </c>
      <c r="D73" s="10">
        <v>79</v>
      </c>
      <c r="E73" s="27"/>
    </row>
    <row r="74" spans="1:5">
      <c r="A74" s="9">
        <v>223</v>
      </c>
      <c r="B74" s="10">
        <v>100</v>
      </c>
      <c r="C74" s="9">
        <v>248</v>
      </c>
      <c r="D74" s="10">
        <v>169</v>
      </c>
      <c r="E74" s="27"/>
    </row>
    <row r="75" spans="1:5">
      <c r="A75" s="11">
        <v>176</v>
      </c>
      <c r="B75" s="12">
        <v>195</v>
      </c>
      <c r="C75" s="11">
        <v>101</v>
      </c>
      <c r="D75" s="12">
        <v>218</v>
      </c>
      <c r="E75" s="27"/>
    </row>
    <row r="76" spans="1:5">
      <c r="A76" s="8">
        <v>99</v>
      </c>
      <c r="B76" s="7">
        <v>4</v>
      </c>
      <c r="C76" s="8">
        <v>90</v>
      </c>
      <c r="D76" s="7">
        <v>137</v>
      </c>
      <c r="E76" s="27"/>
    </row>
    <row r="77" spans="1:5">
      <c r="A77" s="10">
        <v>189</v>
      </c>
      <c r="B77" s="9">
        <v>244</v>
      </c>
      <c r="C77" s="10">
        <v>246</v>
      </c>
      <c r="D77" s="9">
        <v>113</v>
      </c>
      <c r="E77" s="27"/>
    </row>
    <row r="78" spans="1:5">
      <c r="A78" s="10">
        <v>90</v>
      </c>
      <c r="B78" s="9">
        <v>18</v>
      </c>
      <c r="C78" s="10">
        <v>209</v>
      </c>
      <c r="D78" s="9">
        <v>38</v>
      </c>
      <c r="E78" s="27"/>
    </row>
    <row r="79" spans="1:5">
      <c r="A79" s="10">
        <v>222</v>
      </c>
      <c r="B79" s="9">
        <v>91</v>
      </c>
      <c r="C79" s="10">
        <v>83</v>
      </c>
      <c r="D79" s="9">
        <v>170</v>
      </c>
      <c r="E79" s="27"/>
    </row>
    <row r="80" spans="1:5">
      <c r="A80" s="12">
        <v>124</v>
      </c>
      <c r="B80" s="11">
        <v>102</v>
      </c>
      <c r="C80" s="12">
        <v>64</v>
      </c>
      <c r="D80" s="11">
        <v>237</v>
      </c>
      <c r="E80" s="27"/>
    </row>
    <row r="81" spans="1:4">
      <c r="A81" s="13">
        <v>0</v>
      </c>
      <c r="B81" s="14">
        <v>38</v>
      </c>
      <c r="C81" s="13">
        <v>31</v>
      </c>
      <c r="D81" s="14">
        <v>83</v>
      </c>
    </row>
    <row r="82" spans="1:4">
      <c r="A82" s="15">
        <v>155</v>
      </c>
      <c r="B82" s="16">
        <v>1</v>
      </c>
      <c r="C82" s="15">
        <v>154</v>
      </c>
      <c r="D82" s="16">
        <v>47</v>
      </c>
    </row>
    <row r="83" spans="1:4">
      <c r="A83" s="15">
        <v>129</v>
      </c>
      <c r="B83" s="16">
        <v>215</v>
      </c>
      <c r="C83" s="15">
        <v>5</v>
      </c>
      <c r="D83" s="16">
        <v>84</v>
      </c>
    </row>
    <row r="84" spans="1:4">
      <c r="A84" s="15">
        <v>183</v>
      </c>
      <c r="B84" s="16">
        <v>5</v>
      </c>
      <c r="C84" s="15">
        <v>72</v>
      </c>
      <c r="D84" s="16">
        <v>27</v>
      </c>
    </row>
    <row r="85" spans="1:4">
      <c r="A85" s="15">
        <v>249</v>
      </c>
      <c r="B85" s="16">
        <v>161</v>
      </c>
      <c r="C85" s="15">
        <v>30</v>
      </c>
      <c r="D85" s="16">
        <v>216</v>
      </c>
    </row>
    <row r="86" spans="1:4">
      <c r="A86" s="15">
        <v>61</v>
      </c>
      <c r="B86" s="16">
        <v>132</v>
      </c>
      <c r="C86" s="15">
        <v>101</v>
      </c>
      <c r="D86" s="16">
        <v>130</v>
      </c>
    </row>
    <row r="87" spans="1:4">
      <c r="A87" s="15">
        <v>78</v>
      </c>
      <c r="B87" s="16">
        <v>55</v>
      </c>
      <c r="C87" s="15">
        <v>221</v>
      </c>
      <c r="D87" s="16">
        <v>72</v>
      </c>
    </row>
    <row r="88" spans="1:4">
      <c r="A88" s="15">
        <v>137</v>
      </c>
      <c r="B88" s="16">
        <v>156</v>
      </c>
      <c r="C88" s="15">
        <v>151</v>
      </c>
      <c r="D88" s="16">
        <v>90</v>
      </c>
    </row>
    <row r="89" spans="1:4">
      <c r="A89" s="14">
        <v>168</v>
      </c>
      <c r="B89" s="13">
        <v>96</v>
      </c>
      <c r="C89" s="14">
        <v>78</v>
      </c>
      <c r="D89" s="13">
        <v>39</v>
      </c>
    </row>
    <row r="90" spans="1:4">
      <c r="A90" s="16">
        <v>213</v>
      </c>
      <c r="B90" s="15">
        <v>109</v>
      </c>
      <c r="C90" s="16">
        <v>149</v>
      </c>
      <c r="D90" s="15">
        <v>231</v>
      </c>
    </row>
    <row r="91" spans="1:4">
      <c r="A91" s="16">
        <v>213</v>
      </c>
      <c r="B91" s="15">
        <v>42</v>
      </c>
      <c r="C91" s="16">
        <v>100</v>
      </c>
      <c r="D91" s="15">
        <v>209</v>
      </c>
    </row>
    <row r="92" spans="1:4">
      <c r="A92" s="16">
        <v>193</v>
      </c>
      <c r="B92" s="15">
        <v>29</v>
      </c>
      <c r="C92" s="16">
        <v>242</v>
      </c>
      <c r="D92" s="15">
        <v>54</v>
      </c>
    </row>
    <row r="93" spans="1:4">
      <c r="A93" s="16">
        <v>214</v>
      </c>
      <c r="B93" s="15">
        <v>255</v>
      </c>
      <c r="C93" s="16">
        <v>43</v>
      </c>
      <c r="D93" s="15">
        <v>230</v>
      </c>
    </row>
    <row r="94" spans="1:4">
      <c r="A94" s="16">
        <v>41</v>
      </c>
      <c r="B94" s="15">
        <v>220</v>
      </c>
      <c r="C94" s="16">
        <v>156</v>
      </c>
      <c r="D94" s="15">
        <v>19</v>
      </c>
    </row>
    <row r="95" spans="1:4">
      <c r="A95" s="16">
        <v>239</v>
      </c>
      <c r="B95" s="15">
        <v>79</v>
      </c>
      <c r="C95" s="16">
        <v>196</v>
      </c>
      <c r="D95" s="15">
        <v>91</v>
      </c>
    </row>
    <row r="96" spans="1:4">
      <c r="A96" s="16">
        <v>113</v>
      </c>
      <c r="B96" s="15">
        <v>220</v>
      </c>
      <c r="C96" s="16">
        <v>184</v>
      </c>
      <c r="D96" s="15">
        <v>133</v>
      </c>
    </row>
    <row r="97" spans="1:9">
      <c r="A97" s="13">
        <v>86</v>
      </c>
      <c r="B97" s="14">
        <v>72</v>
      </c>
      <c r="C97" s="13">
        <v>27</v>
      </c>
      <c r="D97" s="14">
        <v>149</v>
      </c>
    </row>
    <row r="98" spans="1:9">
      <c r="A98" s="15">
        <v>144</v>
      </c>
      <c r="B98" s="16">
        <v>37</v>
      </c>
      <c r="C98" s="15">
        <v>58</v>
      </c>
      <c r="D98" s="16">
        <v>217</v>
      </c>
    </row>
    <row r="99" spans="1:9">
      <c r="A99" s="15">
        <v>70</v>
      </c>
      <c r="B99" s="16">
        <v>46</v>
      </c>
      <c r="C99" s="15">
        <v>26</v>
      </c>
      <c r="D99" s="16">
        <v>27</v>
      </c>
    </row>
    <row r="100" spans="1:9">
      <c r="A100" s="15">
        <v>148</v>
      </c>
      <c r="B100" s="16">
        <v>152</v>
      </c>
      <c r="C100" s="15">
        <v>148</v>
      </c>
      <c r="D100" s="16">
        <v>37</v>
      </c>
    </row>
    <row r="101" spans="1:9">
      <c r="A101" s="15">
        <v>247</v>
      </c>
      <c r="B101" s="16">
        <v>164</v>
      </c>
      <c r="C101" s="15">
        <v>39</v>
      </c>
      <c r="D101" s="16">
        <v>213</v>
      </c>
    </row>
    <row r="102" spans="1:9">
      <c r="A102" s="15">
        <v>16</v>
      </c>
      <c r="B102" s="16">
        <v>241</v>
      </c>
      <c r="C102" s="15">
        <v>131</v>
      </c>
      <c r="D102" s="16">
        <v>86</v>
      </c>
    </row>
    <row r="103" spans="1:9">
      <c r="A103" s="15">
        <v>186</v>
      </c>
      <c r="B103" s="16">
        <v>238</v>
      </c>
      <c r="C103" s="15">
        <v>1</v>
      </c>
      <c r="D103" s="16">
        <v>208</v>
      </c>
    </row>
    <row r="104" spans="1:9">
      <c r="A104" s="15">
        <v>191</v>
      </c>
      <c r="B104" s="16">
        <v>87</v>
      </c>
      <c r="C104" s="15">
        <v>248</v>
      </c>
      <c r="D104" s="16">
        <v>35</v>
      </c>
    </row>
    <row r="105" spans="1:9">
      <c r="A105" s="14">
        <v>191</v>
      </c>
      <c r="B105" s="13">
        <v>234</v>
      </c>
      <c r="C105" s="14">
        <v>11</v>
      </c>
      <c r="D105" s="13">
        <v>56</v>
      </c>
      <c r="I105" s="21"/>
    </row>
    <row r="106" spans="1:9">
      <c r="A106" s="16">
        <v>129</v>
      </c>
      <c r="B106" s="15">
        <v>89</v>
      </c>
      <c r="C106" s="16">
        <v>163</v>
      </c>
      <c r="D106" s="15">
        <v>121</v>
      </c>
    </row>
    <row r="107" spans="1:9">
      <c r="A107" s="16">
        <v>88</v>
      </c>
      <c r="B107" s="15">
        <v>200</v>
      </c>
      <c r="C107" s="16">
        <v>110</v>
      </c>
      <c r="D107" s="15">
        <v>113</v>
      </c>
    </row>
    <row r="108" spans="1:9">
      <c r="A108" s="16">
        <v>132</v>
      </c>
      <c r="B108" s="15">
        <v>14</v>
      </c>
      <c r="C108" s="16">
        <v>200</v>
      </c>
      <c r="D108" s="15">
        <v>137</v>
      </c>
    </row>
    <row r="109" spans="1:9">
      <c r="A109" s="16">
        <v>13</v>
      </c>
      <c r="B109" s="15">
        <v>156</v>
      </c>
      <c r="C109" s="16">
        <v>253</v>
      </c>
      <c r="D109" s="15">
        <v>168</v>
      </c>
    </row>
    <row r="110" spans="1:9">
      <c r="A110" s="16">
        <v>90</v>
      </c>
      <c r="B110" s="15">
        <v>239</v>
      </c>
      <c r="C110" s="16">
        <v>74</v>
      </c>
      <c r="D110" s="15">
        <v>214</v>
      </c>
    </row>
    <row r="111" spans="1:9">
      <c r="A111" s="16">
        <v>110</v>
      </c>
      <c r="B111" s="15">
        <v>105</v>
      </c>
      <c r="C111" s="16">
        <v>130</v>
      </c>
      <c r="D111" s="15">
        <v>137</v>
      </c>
    </row>
    <row r="112" spans="1:9">
      <c r="A112" s="16">
        <v>76</v>
      </c>
      <c r="B112" s="15">
        <v>237</v>
      </c>
      <c r="C112" s="16">
        <v>214</v>
      </c>
      <c r="D112" s="15">
        <v>95</v>
      </c>
    </row>
    <row r="113" spans="1:7">
      <c r="A113" s="22">
        <v>0</v>
      </c>
      <c r="B113" s="22">
        <v>0</v>
      </c>
      <c r="C113" s="22">
        <v>0</v>
      </c>
      <c r="D113" s="22">
        <v>0</v>
      </c>
    </row>
    <row r="114" spans="1:7">
      <c r="A114" s="22">
        <v>0</v>
      </c>
      <c r="B114" s="22">
        <v>0</v>
      </c>
      <c r="C114" s="22">
        <v>0</v>
      </c>
      <c r="D114" s="22">
        <v>0</v>
      </c>
    </row>
    <row r="115" spans="1:7">
      <c r="A115" s="22">
        <v>0</v>
      </c>
      <c r="B115" s="22">
        <v>0</v>
      </c>
      <c r="C115" s="22">
        <v>0</v>
      </c>
      <c r="D115" s="22">
        <v>0</v>
      </c>
      <c r="G115" s="21"/>
    </row>
    <row r="116" spans="1:7">
      <c r="A116" s="22">
        <v>0</v>
      </c>
      <c r="B116" s="22">
        <v>0</v>
      </c>
      <c r="C116" s="22">
        <v>0</v>
      </c>
      <c r="D116" s="22">
        <v>0</v>
      </c>
    </row>
    <row r="117" spans="1:7">
      <c r="A117" s="19">
        <v>0</v>
      </c>
      <c r="B117" s="19">
        <v>0</v>
      </c>
      <c r="C117" s="19">
        <v>0</v>
      </c>
      <c r="D117" s="19">
        <v>0</v>
      </c>
    </row>
    <row r="118" spans="1:7">
      <c r="A118" s="19">
        <v>0</v>
      </c>
      <c r="B118" s="19">
        <v>0</v>
      </c>
      <c r="C118" s="19">
        <v>0</v>
      </c>
      <c r="D118" s="19">
        <v>0</v>
      </c>
    </row>
    <row r="119" spans="1:7">
      <c r="A119" s="19">
        <v>0</v>
      </c>
      <c r="B119" s="19">
        <v>0</v>
      </c>
      <c r="C119" s="19">
        <v>0</v>
      </c>
      <c r="D119" s="19">
        <v>0</v>
      </c>
    </row>
    <row r="120" spans="1:7">
      <c r="A120" s="19">
        <v>0</v>
      </c>
      <c r="B120" s="19">
        <v>0</v>
      </c>
      <c r="C120" s="19">
        <v>0</v>
      </c>
      <c r="D120" s="19">
        <v>0</v>
      </c>
    </row>
    <row r="121" spans="1:7">
      <c r="A121" s="19">
        <v>0</v>
      </c>
      <c r="B121" s="19">
        <v>0</v>
      </c>
      <c r="C121" s="19">
        <v>0</v>
      </c>
      <c r="D121" s="19">
        <v>0</v>
      </c>
    </row>
    <row r="122" spans="1:7">
      <c r="A122" s="19">
        <v>0</v>
      </c>
      <c r="B122" s="19">
        <v>0</v>
      </c>
      <c r="C122" s="19">
        <v>0</v>
      </c>
      <c r="D122" s="19">
        <v>0</v>
      </c>
    </row>
    <row r="123" spans="1:7">
      <c r="A123" s="19">
        <v>0</v>
      </c>
      <c r="B123" s="19">
        <v>0</v>
      </c>
      <c r="C123" s="19">
        <v>0</v>
      </c>
      <c r="D123" s="19">
        <v>0</v>
      </c>
    </row>
    <row r="124" spans="1:7">
      <c r="A124" s="19">
        <v>0</v>
      </c>
      <c r="B124" s="19">
        <v>0</v>
      </c>
      <c r="C124" s="19">
        <v>0</v>
      </c>
      <c r="D124" s="19">
        <v>0</v>
      </c>
    </row>
    <row r="125" spans="1:7">
      <c r="A125" s="19">
        <v>0</v>
      </c>
      <c r="B125" s="19">
        <v>0</v>
      </c>
      <c r="C125" s="19">
        <v>0</v>
      </c>
      <c r="D125" s="19">
        <v>0</v>
      </c>
    </row>
    <row r="126" spans="1:7">
      <c r="A126" s="19">
        <v>0</v>
      </c>
      <c r="B126" s="19">
        <v>0</v>
      </c>
      <c r="C126" s="19">
        <v>0</v>
      </c>
      <c r="D126" s="19">
        <v>0</v>
      </c>
    </row>
    <row r="127" spans="1:7">
      <c r="A127" s="19">
        <v>0</v>
      </c>
      <c r="B127" s="19">
        <v>0</v>
      </c>
      <c r="C127" s="19">
        <v>0</v>
      </c>
      <c r="D127" s="19">
        <v>0</v>
      </c>
    </row>
    <row r="128" spans="1:7">
      <c r="A128" s="19">
        <v>0</v>
      </c>
      <c r="B128" s="19">
        <v>0</v>
      </c>
      <c r="C128" s="19">
        <v>0</v>
      </c>
      <c r="D128" s="19">
        <v>0</v>
      </c>
    </row>
  </sheetData>
  <mergeCells count="5">
    <mergeCell ref="E1:E20"/>
    <mergeCell ref="E21:E40"/>
    <mergeCell ref="E41:E60"/>
    <mergeCell ref="E61:E80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DCBA-92F6-44C0-9EE6-B1F7F09E4F05}">
  <dimension ref="A1:F154"/>
  <sheetViews>
    <sheetView topLeftCell="A105" workbookViewId="0">
      <selection activeCell="F2" sqref="F2"/>
    </sheetView>
  </sheetViews>
  <sheetFormatPr defaultRowHeight="14.25"/>
  <sheetData>
    <row r="1" spans="1:6">
      <c r="A1" s="1" t="str">
        <f>DEC2HEX(mem_dec!A1)</f>
        <v>37</v>
      </c>
      <c r="B1" s="2" t="str">
        <f>DEC2HEX(mem_dec!B1)</f>
        <v>F6</v>
      </c>
      <c r="C1" s="1" t="str">
        <f>DEC2HEX(mem_dec!C1)</f>
        <v>49</v>
      </c>
      <c r="D1" s="2" t="str">
        <f>DEC2HEX(mem_dec!D1)</f>
        <v>56</v>
      </c>
      <c r="E1" s="27" t="s">
        <v>0</v>
      </c>
      <c r="F1" t="s">
        <v>7</v>
      </c>
    </row>
    <row r="2" spans="1:6">
      <c r="A2" s="3" t="str">
        <f>DEC2HEX(mem_dec!A2)</f>
        <v>6E</v>
      </c>
      <c r="B2" s="4" t="str">
        <f>DEC2HEX(mem_dec!B2)</f>
        <v>D3</v>
      </c>
      <c r="C2" s="3" t="str">
        <f>DEC2HEX(mem_dec!C2)</f>
        <v>AA</v>
      </c>
      <c r="D2" s="4" t="str">
        <f>DEC2HEX(mem_dec!D2)</f>
        <v>98</v>
      </c>
      <c r="E2" s="27"/>
      <c r="F2" t="s">
        <v>8</v>
      </c>
    </row>
    <row r="3" spans="1:6">
      <c r="A3" s="3" t="str">
        <f>DEC2HEX(mem_dec!A3)</f>
        <v>C6</v>
      </c>
      <c r="B3" s="4" t="str">
        <f>DEC2HEX(mem_dec!B3)</f>
        <v>3B</v>
      </c>
      <c r="C3" s="3" t="str">
        <f>DEC2HEX(mem_dec!C3)</f>
        <v>D8</v>
      </c>
      <c r="D3" s="4" t="str">
        <f>DEC2HEX(mem_dec!D3)</f>
        <v>89</v>
      </c>
      <c r="E3" s="27"/>
    </row>
    <row r="4" spans="1:6">
      <c r="A4" s="3" t="str">
        <f>DEC2HEX(mem_dec!A4)</f>
        <v>1</v>
      </c>
      <c r="B4" s="4" t="str">
        <f>DEC2HEX(mem_dec!B4)</f>
        <v>30</v>
      </c>
      <c r="C4" s="3" t="str">
        <f>DEC2HEX(mem_dec!C4)</f>
        <v>A5</v>
      </c>
      <c r="D4" s="4" t="str">
        <f>DEC2HEX(mem_dec!D4)</f>
        <v>A0</v>
      </c>
      <c r="E4" s="27"/>
    </row>
    <row r="5" spans="1:6">
      <c r="A5" s="5" t="str">
        <f>DEC2HEX(mem_dec!A5)</f>
        <v>17</v>
      </c>
      <c r="B5" s="6" t="str">
        <f>DEC2HEX(mem_dec!B5)</f>
        <v>66</v>
      </c>
      <c r="C5" s="5" t="str">
        <f>DEC2HEX(mem_dec!C5)</f>
        <v>78</v>
      </c>
      <c r="D5" s="6" t="str">
        <f>DEC2HEX(mem_dec!D5)</f>
        <v>56</v>
      </c>
      <c r="E5" s="27"/>
    </row>
    <row r="6" spans="1:6">
      <c r="A6" s="2" t="str">
        <f>DEC2HEX(mem_dec!A6)</f>
        <v>3</v>
      </c>
      <c r="B6" s="1" t="str">
        <f>DEC2HEX(mem_dec!B6)</f>
        <v>5F</v>
      </c>
      <c r="C6" s="2" t="str">
        <f>DEC2HEX(mem_dec!C6)</f>
        <v>F6</v>
      </c>
      <c r="D6" s="1" t="str">
        <f>DEC2HEX(mem_dec!D6)</f>
        <v>91</v>
      </c>
      <c r="E6" s="27"/>
    </row>
    <row r="7" spans="1:6">
      <c r="A7" s="4" t="str">
        <f>DEC2HEX(mem_dec!A7)</f>
        <v>78</v>
      </c>
      <c r="B7" s="3" t="str">
        <f>DEC2HEX(mem_dec!B7)</f>
        <v>36</v>
      </c>
      <c r="C7" s="4" t="str">
        <f>DEC2HEX(mem_dec!C7)</f>
        <v>7B</v>
      </c>
      <c r="D7" s="3" t="str">
        <f>DEC2HEX(mem_dec!D7)</f>
        <v>E9</v>
      </c>
      <c r="E7" s="27"/>
    </row>
    <row r="8" spans="1:6">
      <c r="A8" s="4" t="str">
        <f>DEC2HEX(mem_dec!A8)</f>
        <v>FE</v>
      </c>
      <c r="B8" s="3" t="str">
        <f>DEC2HEX(mem_dec!B8)</f>
        <v>1A</v>
      </c>
      <c r="C8" s="4" t="str">
        <f>DEC2HEX(mem_dec!C8)</f>
        <v>86</v>
      </c>
      <c r="D8" s="3" t="str">
        <f>DEC2HEX(mem_dec!D8)</f>
        <v>9D</v>
      </c>
      <c r="E8" s="27"/>
    </row>
    <row r="9" spans="1:6">
      <c r="A9" s="4" t="str">
        <f>DEC2HEX(mem_dec!A9)</f>
        <v>EA</v>
      </c>
      <c r="B9" s="3" t="str">
        <f>DEC2HEX(mem_dec!B9)</f>
        <v>63</v>
      </c>
      <c r="C9" s="4" t="str">
        <f>DEC2HEX(mem_dec!C9)</f>
        <v>B5</v>
      </c>
      <c r="D9" s="3" t="str">
        <f>DEC2HEX(mem_dec!D9)</f>
        <v>30</v>
      </c>
      <c r="E9" s="27"/>
    </row>
    <row r="10" spans="1:6">
      <c r="A10" s="6" t="str">
        <f>DEC2HEX(mem_dec!A10)</f>
        <v>41</v>
      </c>
      <c r="B10" s="5" t="str">
        <f>DEC2HEX(mem_dec!B10)</f>
        <v>F</v>
      </c>
      <c r="C10" s="6" t="str">
        <f>DEC2HEX(mem_dec!C10)</f>
        <v>4A</v>
      </c>
      <c r="D10" s="5" t="str">
        <f>DEC2HEX(mem_dec!D10)</f>
        <v>39</v>
      </c>
      <c r="E10" s="27"/>
    </row>
    <row r="11" spans="1:6">
      <c r="A11" s="1" t="str">
        <f>DEC2HEX(mem_dec!A11)</f>
        <v>1F</v>
      </c>
      <c r="B11" s="2" t="str">
        <f>DEC2HEX(mem_dec!B11)</f>
        <v>4F</v>
      </c>
      <c r="C11" s="1" t="str">
        <f>DEC2HEX(mem_dec!C11)</f>
        <v>12</v>
      </c>
      <c r="D11" s="2" t="str">
        <f>DEC2HEX(mem_dec!D11)</f>
        <v>47</v>
      </c>
      <c r="E11" s="27"/>
    </row>
    <row r="12" spans="1:6">
      <c r="A12" s="3" t="str">
        <f>DEC2HEX(mem_dec!A12)</f>
        <v>76</v>
      </c>
      <c r="B12" s="4" t="str">
        <f>DEC2HEX(mem_dec!B12)</f>
        <v>C9</v>
      </c>
      <c r="C12" s="3" t="str">
        <f>DEC2HEX(mem_dec!C12)</f>
        <v>15</v>
      </c>
      <c r="D12" s="4" t="str">
        <f>DEC2HEX(mem_dec!D12)</f>
        <v>58</v>
      </c>
      <c r="E12" s="27"/>
    </row>
    <row r="13" spans="1:6">
      <c r="A13" s="3" t="str">
        <f>DEC2HEX(mem_dec!A13)</f>
        <v>AD</v>
      </c>
      <c r="B13" s="4" t="str">
        <f>DEC2HEX(mem_dec!B13)</f>
        <v>42</v>
      </c>
      <c r="C13" s="3" t="str">
        <f>DEC2HEX(mem_dec!C13)</f>
        <v>23</v>
      </c>
      <c r="D13" s="4" t="str">
        <f>DEC2HEX(mem_dec!D13)</f>
        <v>B6</v>
      </c>
      <c r="E13" s="27"/>
    </row>
    <row r="14" spans="1:6">
      <c r="A14" s="3" t="str">
        <f>DEC2HEX(mem_dec!A14)</f>
        <v>B7</v>
      </c>
      <c r="B14" s="4" t="str">
        <f>DEC2HEX(mem_dec!B14)</f>
        <v>18</v>
      </c>
      <c r="C14" s="3" t="str">
        <f>DEC2HEX(mem_dec!C14)</f>
        <v>73</v>
      </c>
      <c r="D14" s="4" t="str">
        <f>DEC2HEX(mem_dec!D14)</f>
        <v>D6</v>
      </c>
      <c r="E14" s="27"/>
    </row>
    <row r="15" spans="1:6">
      <c r="A15" s="5" t="str">
        <f>DEC2HEX(mem_dec!A15)</f>
        <v>2D</v>
      </c>
      <c r="B15" s="6" t="str">
        <f>DEC2HEX(mem_dec!B15)</f>
        <v>67</v>
      </c>
      <c r="C15" s="5" t="str">
        <f>DEC2HEX(mem_dec!C15)</f>
        <v>83</v>
      </c>
      <c r="D15" s="6" t="str">
        <f>DEC2HEX(mem_dec!D15)</f>
        <v>F7</v>
      </c>
      <c r="E15" s="27"/>
    </row>
    <row r="16" spans="1:6">
      <c r="A16" s="2" t="str">
        <f>DEC2HEX(mem_dec!A16)</f>
        <v>3</v>
      </c>
      <c r="B16" s="1" t="str">
        <f>DEC2HEX(mem_dec!B16)</f>
        <v>DD</v>
      </c>
      <c r="C16" s="2" t="str">
        <f>DEC2HEX(mem_dec!C16)</f>
        <v>2F</v>
      </c>
      <c r="D16" s="1" t="str">
        <f>DEC2HEX(mem_dec!D16)</f>
        <v>E4</v>
      </c>
      <c r="E16" s="27"/>
    </row>
    <row r="17" spans="1:5">
      <c r="A17" s="4" t="str">
        <f>DEC2HEX(mem_dec!A17)</f>
        <v>15</v>
      </c>
      <c r="B17" s="3" t="str">
        <f>DEC2HEX(mem_dec!B17)</f>
        <v>56</v>
      </c>
      <c r="C17" s="4" t="str">
        <f>DEC2HEX(mem_dec!C17)</f>
        <v>8B</v>
      </c>
      <c r="D17" s="3" t="str">
        <f>DEC2HEX(mem_dec!D17)</f>
        <v>B7</v>
      </c>
      <c r="E17" s="27"/>
    </row>
    <row r="18" spans="1:5">
      <c r="A18" s="4" t="str">
        <f>DEC2HEX(mem_dec!A18)</f>
        <v>62</v>
      </c>
      <c r="B18" s="3" t="str">
        <f>DEC2HEX(mem_dec!B18)</f>
        <v>CE</v>
      </c>
      <c r="C18" s="4" t="str">
        <f>DEC2HEX(mem_dec!C18)</f>
        <v>61</v>
      </c>
      <c r="D18" s="3" t="str">
        <f>DEC2HEX(mem_dec!D18)</f>
        <v>1B</v>
      </c>
      <c r="E18" s="27"/>
    </row>
    <row r="19" spans="1:5">
      <c r="A19" s="4" t="str">
        <f>DEC2HEX(mem_dec!A19)</f>
        <v>F8</v>
      </c>
      <c r="B19" s="3" t="str">
        <f>DEC2HEX(mem_dec!B19)</f>
        <v>75</v>
      </c>
      <c r="C19" s="4" t="str">
        <f>DEC2HEX(mem_dec!C19)</f>
        <v>AB</v>
      </c>
      <c r="D19" s="3" t="str">
        <f>DEC2HEX(mem_dec!D19)</f>
        <v>90</v>
      </c>
      <c r="E19" s="27"/>
    </row>
    <row r="20" spans="1:5">
      <c r="A20" s="6" t="str">
        <f>DEC2HEX(mem_dec!A20)</f>
        <v>9F</v>
      </c>
      <c r="B20" s="5" t="str">
        <f>DEC2HEX(mem_dec!B20)</f>
        <v>4C</v>
      </c>
      <c r="C20" s="6" t="str">
        <f>DEC2HEX(mem_dec!C20)</f>
        <v>60</v>
      </c>
      <c r="D20" s="5" t="str">
        <f>DEC2HEX(mem_dec!D20)</f>
        <v>9</v>
      </c>
      <c r="E20" s="27"/>
    </row>
    <row r="21" spans="1:5">
      <c r="A21" s="1" t="str">
        <f>DEC2HEX(mem_dec!A21)</f>
        <v>22</v>
      </c>
      <c r="B21" s="2" t="str">
        <f>DEC2HEX(mem_dec!B21)</f>
        <v>BE</v>
      </c>
      <c r="C21" s="1" t="str">
        <f>DEC2HEX(mem_dec!C21)</f>
        <v>DB</v>
      </c>
      <c r="D21" s="2" t="str">
        <f>DEC2HEX(mem_dec!D21)</f>
        <v>38</v>
      </c>
      <c r="E21" s="27" t="s">
        <v>1</v>
      </c>
    </row>
    <row r="22" spans="1:5">
      <c r="A22" s="3" t="str">
        <f>DEC2HEX(mem_dec!A22)</f>
        <v>9D</v>
      </c>
      <c r="B22" s="4" t="str">
        <f>DEC2HEX(mem_dec!B22)</f>
        <v>1</v>
      </c>
      <c r="C22" s="3" t="str">
        <f>DEC2HEX(mem_dec!C22)</f>
        <v>D8</v>
      </c>
      <c r="D22" s="4" t="str">
        <f>DEC2HEX(mem_dec!D22)</f>
        <v>55</v>
      </c>
      <c r="E22" s="27"/>
    </row>
    <row r="23" spans="1:5">
      <c r="A23" s="3" t="str">
        <f>DEC2HEX(mem_dec!A23)</f>
        <v>99</v>
      </c>
      <c r="B23" s="4" t="str">
        <f>DEC2HEX(mem_dec!B23)</f>
        <v>94</v>
      </c>
      <c r="C23" s="3" t="str">
        <f>DEC2HEX(mem_dec!C23)</f>
        <v>52</v>
      </c>
      <c r="D23" s="4" t="str">
        <f>DEC2HEX(mem_dec!D23)</f>
        <v>9B</v>
      </c>
      <c r="E23" s="27"/>
    </row>
    <row r="24" spans="1:5">
      <c r="A24" s="3" t="str">
        <f>DEC2HEX(mem_dec!A24)</f>
        <v>49</v>
      </c>
      <c r="B24" s="4" t="str">
        <f>DEC2HEX(mem_dec!B24)</f>
        <v>2D</v>
      </c>
      <c r="C24" s="3" t="str">
        <f>DEC2HEX(mem_dec!C24)</f>
        <v>A</v>
      </c>
      <c r="D24" s="4" t="str">
        <f>DEC2HEX(mem_dec!D24)</f>
        <v>DC</v>
      </c>
      <c r="E24" s="27"/>
    </row>
    <row r="25" spans="1:5">
      <c r="A25" s="5" t="str">
        <f>DEC2HEX(mem_dec!A25)</f>
        <v>DD</v>
      </c>
      <c r="B25" s="6" t="str">
        <f>DEC2HEX(mem_dec!B25)</f>
        <v>5D</v>
      </c>
      <c r="C25" s="5" t="str">
        <f>DEC2HEX(mem_dec!C25)</f>
        <v>95</v>
      </c>
      <c r="D25" s="6" t="str">
        <f>DEC2HEX(mem_dec!D25)</f>
        <v>EA</v>
      </c>
      <c r="E25" s="27"/>
    </row>
    <row r="26" spans="1:5">
      <c r="A26" s="2" t="str">
        <f>DEC2HEX(mem_dec!A26)</f>
        <v>7A</v>
      </c>
      <c r="B26" s="1" t="str">
        <f>DEC2HEX(mem_dec!B26)</f>
        <v>39</v>
      </c>
      <c r="C26" s="2" t="str">
        <f>DEC2HEX(mem_dec!C26)</f>
        <v>5B</v>
      </c>
      <c r="D26" s="1" t="str">
        <f>DEC2HEX(mem_dec!D26)</f>
        <v>39</v>
      </c>
      <c r="E26" s="27"/>
    </row>
    <row r="27" spans="1:5">
      <c r="A27" s="4" t="str">
        <f>DEC2HEX(mem_dec!A27)</f>
        <v>F7</v>
      </c>
      <c r="B27" s="3" t="str">
        <f>DEC2HEX(mem_dec!B27)</f>
        <v>2</v>
      </c>
      <c r="C27" s="4" t="str">
        <f>DEC2HEX(mem_dec!C27)</f>
        <v>8B</v>
      </c>
      <c r="D27" s="3" t="str">
        <f>DEC2HEX(mem_dec!D27)</f>
        <v>E9</v>
      </c>
      <c r="E27" s="27"/>
    </row>
    <row r="28" spans="1:5">
      <c r="A28" s="4" t="str">
        <f>DEC2HEX(mem_dec!A28)</f>
        <v>1D</v>
      </c>
      <c r="B28" s="3" t="str">
        <f>DEC2HEX(mem_dec!B28)</f>
        <v>CA</v>
      </c>
      <c r="C28" s="4" t="str">
        <f>DEC2HEX(mem_dec!C28)</f>
        <v>42</v>
      </c>
      <c r="D28" s="3" t="str">
        <f>DEC2HEX(mem_dec!D28)</f>
        <v>68</v>
      </c>
      <c r="E28" s="27"/>
    </row>
    <row r="29" spans="1:5">
      <c r="A29" s="4" t="str">
        <f>DEC2HEX(mem_dec!A29)</f>
        <v>B6</v>
      </c>
      <c r="B29" s="3" t="str">
        <f>DEC2HEX(mem_dec!B29)</f>
        <v>A5</v>
      </c>
      <c r="C29" s="4" t="str">
        <f>DEC2HEX(mem_dec!C29)</f>
        <v>BB</v>
      </c>
      <c r="D29" s="3" t="str">
        <f>DEC2HEX(mem_dec!D29)</f>
        <v>94</v>
      </c>
      <c r="E29" s="27"/>
    </row>
    <row r="30" spans="1:5">
      <c r="A30" s="6" t="str">
        <f>DEC2HEX(mem_dec!A30)</f>
        <v>B1</v>
      </c>
      <c r="B30" s="5" t="str">
        <f>DEC2HEX(mem_dec!B30)</f>
        <v>F9</v>
      </c>
      <c r="C30" s="6" t="str">
        <f>DEC2HEX(mem_dec!C30)</f>
        <v>92</v>
      </c>
      <c r="D30" s="5" t="str">
        <f>DEC2HEX(mem_dec!D30)</f>
        <v>EA</v>
      </c>
      <c r="E30" s="27"/>
    </row>
    <row r="31" spans="1:5">
      <c r="A31" s="1" t="str">
        <f>DEC2HEX(mem_dec!A31)</f>
        <v>5E</v>
      </c>
      <c r="B31" s="2" t="str">
        <f>DEC2HEX(mem_dec!B31)</f>
        <v>D9</v>
      </c>
      <c r="C31" s="1" t="str">
        <f>DEC2HEX(mem_dec!C31)</f>
        <v>3B</v>
      </c>
      <c r="D31" s="2" t="str">
        <f>DEC2HEX(mem_dec!D31)</f>
        <v>D3</v>
      </c>
      <c r="E31" s="27"/>
    </row>
    <row r="32" spans="1:5">
      <c r="A32" s="3" t="str">
        <f>DEC2HEX(mem_dec!A32)</f>
        <v>92</v>
      </c>
      <c r="B32" s="4" t="str">
        <f>DEC2HEX(mem_dec!B32)</f>
        <v>71</v>
      </c>
      <c r="C32" s="3" t="str">
        <f>DEC2HEX(mem_dec!C32)</f>
        <v>3D</v>
      </c>
      <c r="D32" s="4" t="str">
        <f>DEC2HEX(mem_dec!D32)</f>
        <v>90</v>
      </c>
      <c r="E32" s="27"/>
    </row>
    <row r="33" spans="1:5">
      <c r="A33" s="3" t="str">
        <f>DEC2HEX(mem_dec!A33)</f>
        <v>CB</v>
      </c>
      <c r="B33" s="4" t="str">
        <f>DEC2HEX(mem_dec!B33)</f>
        <v>E8</v>
      </c>
      <c r="C33" s="3" t="str">
        <f>DEC2HEX(mem_dec!C33)</f>
        <v>64</v>
      </c>
      <c r="D33" s="4" t="str">
        <f>DEC2HEX(mem_dec!D33)</f>
        <v>A7</v>
      </c>
      <c r="E33" s="27"/>
    </row>
    <row r="34" spans="1:5">
      <c r="A34" s="3" t="str">
        <f>DEC2HEX(mem_dec!A34)</f>
        <v>AF</v>
      </c>
      <c r="B34" s="4" t="str">
        <f>DEC2HEX(mem_dec!B34)</f>
        <v>E2</v>
      </c>
      <c r="C34" s="3" t="str">
        <f>DEC2HEX(mem_dec!C34)</f>
        <v>D7</v>
      </c>
      <c r="D34" s="4" t="str">
        <f>DEC2HEX(mem_dec!D34)</f>
        <v>E2</v>
      </c>
      <c r="E34" s="27"/>
    </row>
    <row r="35" spans="1:5">
      <c r="A35" s="5" t="str">
        <f>DEC2HEX(mem_dec!A35)</f>
        <v>1E</v>
      </c>
      <c r="B35" s="6" t="str">
        <f>DEC2HEX(mem_dec!B35)</f>
        <v>CF</v>
      </c>
      <c r="C35" s="5" t="str">
        <f>DEC2HEX(mem_dec!C35)</f>
        <v>93</v>
      </c>
      <c r="D35" s="6" t="str">
        <f>DEC2HEX(mem_dec!D35)</f>
        <v>DC</v>
      </c>
      <c r="E35" s="27"/>
    </row>
    <row r="36" spans="1:5">
      <c r="A36" s="2" t="str">
        <f>DEC2HEX(mem_dec!A36)</f>
        <v>2F</v>
      </c>
      <c r="B36" s="1" t="str">
        <f>DEC2HEX(mem_dec!B36)</f>
        <v>3B</v>
      </c>
      <c r="C36" s="2" t="str">
        <f>DEC2HEX(mem_dec!C36)</f>
        <v>56</v>
      </c>
      <c r="D36" s="1" t="str">
        <f>DEC2HEX(mem_dec!D36)</f>
        <v>25</v>
      </c>
      <c r="E36" s="27"/>
    </row>
    <row r="37" spans="1:5">
      <c r="A37" s="4" t="str">
        <f>DEC2HEX(mem_dec!A37)</f>
        <v>A</v>
      </c>
      <c r="B37" s="3" t="str">
        <f>DEC2HEX(mem_dec!B37)</f>
        <v>89</v>
      </c>
      <c r="C37" s="4" t="str">
        <f>DEC2HEX(mem_dec!C37)</f>
        <v>55</v>
      </c>
      <c r="D37" s="3" t="str">
        <f>DEC2HEX(mem_dec!D37)</f>
        <v>87</v>
      </c>
      <c r="E37" s="27"/>
    </row>
    <row r="38" spans="1:5">
      <c r="A38" s="4" t="str">
        <f>DEC2HEX(mem_dec!A38)</f>
        <v>11</v>
      </c>
      <c r="B38" s="3" t="str">
        <f>DEC2HEX(mem_dec!B38)</f>
        <v>EB</v>
      </c>
      <c r="C38" s="4" t="str">
        <f>DEC2HEX(mem_dec!C38)</f>
        <v>74</v>
      </c>
      <c r="D38" s="3" t="str">
        <f>DEC2HEX(mem_dec!D38)</f>
        <v>4D</v>
      </c>
      <c r="E38" s="27"/>
    </row>
    <row r="39" spans="1:5">
      <c r="A39" s="4" t="str">
        <f>DEC2HEX(mem_dec!A39)</f>
        <v>23</v>
      </c>
      <c r="B39" s="3" t="str">
        <f>DEC2HEX(mem_dec!B39)</f>
        <v>EC</v>
      </c>
      <c r="C39" s="4" t="str">
        <f>DEC2HEX(mem_dec!C39)</f>
        <v>4D</v>
      </c>
      <c r="D39" s="3" t="str">
        <f>DEC2HEX(mem_dec!D39)</f>
        <v>39</v>
      </c>
      <c r="E39" s="27"/>
    </row>
    <row r="40" spans="1:5">
      <c r="A40" s="6" t="str">
        <f>DEC2HEX(mem_dec!A40)</f>
        <v>30</v>
      </c>
      <c r="B40" s="5" t="str">
        <f>DEC2HEX(mem_dec!B40)</f>
        <v>4D</v>
      </c>
      <c r="C40" s="6" t="str">
        <f>DEC2HEX(mem_dec!C40)</f>
        <v>69</v>
      </c>
      <c r="D40" s="5" t="str">
        <f>DEC2HEX(mem_dec!D40)</f>
        <v>3D</v>
      </c>
      <c r="E40" s="27"/>
    </row>
    <row r="41" spans="1:5">
      <c r="A41" s="7" t="str">
        <f>DEC2HEX(mem_dec!A41)</f>
        <v>3C</v>
      </c>
      <c r="B41" s="8" t="str">
        <f>DEC2HEX(mem_dec!B41)</f>
        <v>A</v>
      </c>
      <c r="C41" s="7" t="str">
        <f>DEC2HEX(mem_dec!C41)</f>
        <v>EB</v>
      </c>
      <c r="D41" s="8" t="str">
        <f>DEC2HEX(mem_dec!D41)</f>
        <v>6B</v>
      </c>
      <c r="E41" s="27" t="s">
        <v>2</v>
      </c>
    </row>
    <row r="42" spans="1:5">
      <c r="A42" s="9" t="str">
        <f>DEC2HEX(mem_dec!A42)</f>
        <v>1E</v>
      </c>
      <c r="B42" s="10" t="str">
        <f>DEC2HEX(mem_dec!B42)</f>
        <v>31</v>
      </c>
      <c r="C42" s="9" t="str">
        <f>DEC2HEX(mem_dec!C42)</f>
        <v>A9</v>
      </c>
      <c r="D42" s="10" t="str">
        <f>DEC2HEX(mem_dec!D42)</f>
        <v>C2</v>
      </c>
      <c r="E42" s="27"/>
    </row>
    <row r="43" spans="1:5">
      <c r="A43" s="9" t="str">
        <f>DEC2HEX(mem_dec!A43)</f>
        <v>5F</v>
      </c>
      <c r="B43" s="10" t="str">
        <f>DEC2HEX(mem_dec!B43)</f>
        <v>A3</v>
      </c>
      <c r="C43" s="9" t="str">
        <f>DEC2HEX(mem_dec!C43)</f>
        <v>47</v>
      </c>
      <c r="D43" s="10" t="str">
        <f>DEC2HEX(mem_dec!D43)</f>
        <v>E1</v>
      </c>
      <c r="E43" s="27"/>
    </row>
    <row r="44" spans="1:5">
      <c r="A44" s="9" t="str">
        <f>DEC2HEX(mem_dec!A44)</f>
        <v>FD</v>
      </c>
      <c r="B44" s="10" t="str">
        <f>DEC2HEX(mem_dec!B44)</f>
        <v>F1</v>
      </c>
      <c r="C44" s="9" t="str">
        <f>DEC2HEX(mem_dec!C44)</f>
        <v>94</v>
      </c>
      <c r="D44" s="10" t="str">
        <f>DEC2HEX(mem_dec!D44)</f>
        <v>3A</v>
      </c>
      <c r="E44" s="27"/>
    </row>
    <row r="45" spans="1:5">
      <c r="A45" s="11" t="str">
        <f>DEC2HEX(mem_dec!A45)</f>
        <v>F2</v>
      </c>
      <c r="B45" s="12" t="str">
        <f>DEC2HEX(mem_dec!B45)</f>
        <v>F1</v>
      </c>
      <c r="C45" s="11" t="str">
        <f>DEC2HEX(mem_dec!C45)</f>
        <v>91</v>
      </c>
      <c r="D45" s="12" t="str">
        <f>DEC2HEX(mem_dec!D45)</f>
        <v>FC</v>
      </c>
      <c r="E45" s="27"/>
    </row>
    <row r="46" spans="1:5">
      <c r="A46" s="8" t="str">
        <f>DEC2HEX(mem_dec!A46)</f>
        <v>14</v>
      </c>
      <c r="B46" s="7" t="str">
        <f>DEC2HEX(mem_dec!B46)</f>
        <v>D8</v>
      </c>
      <c r="C46" s="8" t="str">
        <f>DEC2HEX(mem_dec!C46)</f>
        <v>5</v>
      </c>
      <c r="D46" s="7" t="str">
        <f>DEC2HEX(mem_dec!D46)</f>
        <v>74</v>
      </c>
      <c r="E46" s="27"/>
    </row>
    <row r="47" spans="1:5">
      <c r="A47" s="10" t="str">
        <f>DEC2HEX(mem_dec!A47)</f>
        <v>ED</v>
      </c>
      <c r="B47" s="9" t="str">
        <f>DEC2HEX(mem_dec!B47)</f>
        <v>93</v>
      </c>
      <c r="C47" s="10" t="str">
        <f>DEC2HEX(mem_dec!C47)</f>
        <v>22</v>
      </c>
      <c r="D47" s="9" t="str">
        <f>DEC2HEX(mem_dec!D47)</f>
        <v>86</v>
      </c>
      <c r="E47" s="27"/>
    </row>
    <row r="48" spans="1:5">
      <c r="A48" s="10" t="str">
        <f>DEC2HEX(mem_dec!A48)</f>
        <v>86</v>
      </c>
      <c r="B48" s="9" t="str">
        <f>DEC2HEX(mem_dec!B48)</f>
        <v>19</v>
      </c>
      <c r="C48" s="10" t="str">
        <f>DEC2HEX(mem_dec!C48)</f>
        <v>DC</v>
      </c>
      <c r="D48" s="9" t="str">
        <f>DEC2HEX(mem_dec!D48)</f>
        <v>B</v>
      </c>
      <c r="E48" s="27"/>
    </row>
    <row r="49" spans="1:5">
      <c r="A49" s="10" t="str">
        <f>DEC2HEX(mem_dec!A49)</f>
        <v>9E</v>
      </c>
      <c r="B49" s="9" t="str">
        <f>DEC2HEX(mem_dec!B49)</f>
        <v>36</v>
      </c>
      <c r="C49" s="10" t="str">
        <f>DEC2HEX(mem_dec!C49)</f>
        <v>8D</v>
      </c>
      <c r="D49" s="9" t="str">
        <f>DEC2HEX(mem_dec!D49)</f>
        <v>9B</v>
      </c>
      <c r="E49" s="27"/>
    </row>
    <row r="50" spans="1:5">
      <c r="A50" s="12" t="str">
        <f>DEC2HEX(mem_dec!A50)</f>
        <v>71</v>
      </c>
      <c r="B50" s="11" t="str">
        <f>DEC2HEX(mem_dec!B50)</f>
        <v>91</v>
      </c>
      <c r="C50" s="12" t="str">
        <f>DEC2HEX(mem_dec!C50)</f>
        <v>2D</v>
      </c>
      <c r="D50" s="11" t="str">
        <f>DEC2HEX(mem_dec!D50)</f>
        <v>D8</v>
      </c>
      <c r="E50" s="27"/>
    </row>
    <row r="51" spans="1:5">
      <c r="A51" s="7" t="str">
        <f>DEC2HEX(mem_dec!A51)</f>
        <v>5F</v>
      </c>
      <c r="B51" s="8" t="str">
        <f>DEC2HEX(mem_dec!B51)</f>
        <v>26</v>
      </c>
      <c r="C51" s="7" t="str">
        <f>DEC2HEX(mem_dec!C51)</f>
        <v>BF</v>
      </c>
      <c r="D51" s="8" t="str">
        <f>DEC2HEX(mem_dec!D51)</f>
        <v>CE</v>
      </c>
      <c r="E51" s="27"/>
    </row>
    <row r="52" spans="1:5">
      <c r="A52" s="9" t="str">
        <f>DEC2HEX(mem_dec!A52)</f>
        <v>B3</v>
      </c>
      <c r="B52" s="10" t="str">
        <f>DEC2HEX(mem_dec!B52)</f>
        <v>FD</v>
      </c>
      <c r="C52" s="9" t="str">
        <f>DEC2HEX(mem_dec!C52)</f>
        <v>70</v>
      </c>
      <c r="D52" s="10" t="str">
        <f>DEC2HEX(mem_dec!D52)</f>
        <v>90</v>
      </c>
      <c r="E52" s="27"/>
    </row>
    <row r="53" spans="1:5">
      <c r="A53" s="9" t="str">
        <f>DEC2HEX(mem_dec!A53)</f>
        <v>50</v>
      </c>
      <c r="B53" s="10" t="str">
        <f>DEC2HEX(mem_dec!B53)</f>
        <v>32</v>
      </c>
      <c r="C53" s="9" t="str">
        <f>DEC2HEX(mem_dec!C53)</f>
        <v>33</v>
      </c>
      <c r="D53" s="10" t="str">
        <f>DEC2HEX(mem_dec!D53)</f>
        <v>8C</v>
      </c>
      <c r="E53" s="27"/>
    </row>
    <row r="54" spans="1:5">
      <c r="A54" s="9" t="str">
        <f>DEC2HEX(mem_dec!A54)</f>
        <v>45</v>
      </c>
      <c r="B54" s="10" t="str">
        <f>DEC2HEX(mem_dec!B54)</f>
        <v>B0</v>
      </c>
      <c r="C54" s="9" t="str">
        <f>DEC2HEX(mem_dec!C54)</f>
        <v>8E</v>
      </c>
      <c r="D54" s="10" t="str">
        <f>DEC2HEX(mem_dec!D54)</f>
        <v>FE</v>
      </c>
      <c r="E54" s="27"/>
    </row>
    <row r="55" spans="1:5">
      <c r="A55" s="11" t="str">
        <f>DEC2HEX(mem_dec!A55)</f>
        <v>DB</v>
      </c>
      <c r="B55" s="12" t="str">
        <f>DEC2HEX(mem_dec!B55)</f>
        <v>22</v>
      </c>
      <c r="C55" s="11" t="str">
        <f>DEC2HEX(mem_dec!C55)</f>
        <v>70</v>
      </c>
      <c r="D55" s="12" t="str">
        <f>DEC2HEX(mem_dec!D55)</f>
        <v>F</v>
      </c>
      <c r="E55" s="27"/>
    </row>
    <row r="56" spans="1:5">
      <c r="A56" s="8" t="str">
        <f>DEC2HEX(mem_dec!A56)</f>
        <v>80</v>
      </c>
      <c r="B56" s="7" t="str">
        <f>DEC2HEX(mem_dec!B56)</f>
        <v>4</v>
      </c>
      <c r="C56" s="8" t="str">
        <f>DEC2HEX(mem_dec!C56)</f>
        <v>FB</v>
      </c>
      <c r="D56" s="7" t="str">
        <f>DEC2HEX(mem_dec!D56)</f>
        <v>15</v>
      </c>
      <c r="E56" s="27"/>
    </row>
    <row r="57" spans="1:5">
      <c r="A57" s="10" t="str">
        <f>DEC2HEX(mem_dec!A57)</f>
        <v>2F</v>
      </c>
      <c r="B57" s="9" t="str">
        <f>DEC2HEX(mem_dec!B57)</f>
        <v>B9</v>
      </c>
      <c r="C57" s="10" t="str">
        <f>DEC2HEX(mem_dec!C57)</f>
        <v>2B</v>
      </c>
      <c r="D57" s="9" t="str">
        <f>DEC2HEX(mem_dec!D57)</f>
        <v>68</v>
      </c>
      <c r="E57" s="27"/>
    </row>
    <row r="58" spans="1:5">
      <c r="A58" s="10" t="str">
        <f>DEC2HEX(mem_dec!A58)</f>
        <v>A5</v>
      </c>
      <c r="B58" s="9" t="str">
        <f>DEC2HEX(mem_dec!B58)</f>
        <v>18</v>
      </c>
      <c r="C58" s="10" t="str">
        <f>DEC2HEX(mem_dec!C58)</f>
        <v>B5</v>
      </c>
      <c r="D58" s="9" t="str">
        <f>DEC2HEX(mem_dec!D58)</f>
        <v>74</v>
      </c>
      <c r="E58" s="27"/>
    </row>
    <row r="59" spans="1:5">
      <c r="A59" s="10" t="str">
        <f>DEC2HEX(mem_dec!A59)</f>
        <v>58</v>
      </c>
      <c r="B59" s="9" t="str">
        <f>DEC2HEX(mem_dec!B59)</f>
        <v>7E</v>
      </c>
      <c r="C59" s="10" t="str">
        <f>DEC2HEX(mem_dec!C59)</f>
        <v>9D</v>
      </c>
      <c r="D59" s="9" t="str">
        <f>DEC2HEX(mem_dec!D59)</f>
        <v>FD</v>
      </c>
      <c r="E59" s="27"/>
    </row>
    <row r="60" spans="1:5">
      <c r="A60" s="12" t="str">
        <f>DEC2HEX(mem_dec!A60)</f>
        <v>D1</v>
      </c>
      <c r="B60" s="11" t="str">
        <f>DEC2HEX(mem_dec!B60)</f>
        <v>91</v>
      </c>
      <c r="C60" s="12" t="str">
        <f>DEC2HEX(mem_dec!C60)</f>
        <v>B0</v>
      </c>
      <c r="D60" s="11" t="str">
        <f>DEC2HEX(mem_dec!D60)</f>
        <v>E8</v>
      </c>
      <c r="E60" s="27"/>
    </row>
    <row r="61" spans="1:5">
      <c r="A61" s="7" t="str">
        <f>DEC2HEX(mem_dec!A61)</f>
        <v>98</v>
      </c>
      <c r="B61" s="8" t="str">
        <f>DEC2HEX(mem_dec!B61)</f>
        <v>ED</v>
      </c>
      <c r="C61" s="7" t="str">
        <f>DEC2HEX(mem_dec!C61)</f>
        <v>25</v>
      </c>
      <c r="D61" s="8" t="str">
        <f>DEC2HEX(mem_dec!D61)</f>
        <v>4</v>
      </c>
      <c r="E61" s="27" t="s">
        <v>3</v>
      </c>
    </row>
    <row r="62" spans="1:5">
      <c r="A62" s="9" t="str">
        <f>DEC2HEX(mem_dec!A62)</f>
        <v>E8</v>
      </c>
      <c r="B62" s="10" t="str">
        <f>DEC2HEX(mem_dec!B62)</f>
        <v>91</v>
      </c>
      <c r="C62" s="9" t="str">
        <f>DEC2HEX(mem_dec!C62)</f>
        <v>EE</v>
      </c>
      <c r="D62" s="10" t="str">
        <f>DEC2HEX(mem_dec!D62)</f>
        <v>6C</v>
      </c>
      <c r="E62" s="27"/>
    </row>
    <row r="63" spans="1:5">
      <c r="A63" s="9" t="str">
        <f>DEC2HEX(mem_dec!A63)</f>
        <v>EB</v>
      </c>
      <c r="B63" s="10" t="str">
        <f>DEC2HEX(mem_dec!B63)</f>
        <v>D6</v>
      </c>
      <c r="C63" s="9" t="str">
        <f>DEC2HEX(mem_dec!C63)</f>
        <v>A6</v>
      </c>
      <c r="D63" s="10" t="str">
        <f>DEC2HEX(mem_dec!D63)</f>
        <v>9A</v>
      </c>
      <c r="E63" s="27"/>
    </row>
    <row r="64" spans="1:5">
      <c r="A64" s="9" t="str">
        <f>DEC2HEX(mem_dec!A64)</f>
        <v>C1</v>
      </c>
      <c r="B64" s="10" t="str">
        <f>DEC2HEX(mem_dec!B64)</f>
        <v>F3</v>
      </c>
      <c r="C64" s="9" t="str">
        <f>DEC2HEX(mem_dec!C64)</f>
        <v>B3</v>
      </c>
      <c r="D64" s="10" t="str">
        <f>DEC2HEX(mem_dec!D64)</f>
        <v>51</v>
      </c>
      <c r="E64" s="27"/>
    </row>
    <row r="65" spans="1:5">
      <c r="A65" s="11" t="str">
        <f>DEC2HEX(mem_dec!A65)</f>
        <v>C1</v>
      </c>
      <c r="B65" s="12" t="str">
        <f>DEC2HEX(mem_dec!B65)</f>
        <v>96</v>
      </c>
      <c r="C65" s="11" t="str">
        <f>DEC2HEX(mem_dec!C65)</f>
        <v>80</v>
      </c>
      <c r="D65" s="12" t="str">
        <f>DEC2HEX(mem_dec!D65)</f>
        <v>31</v>
      </c>
      <c r="E65" s="27"/>
    </row>
    <row r="66" spans="1:5">
      <c r="A66" s="8" t="str">
        <f>DEC2HEX(mem_dec!A66)</f>
        <v>9B</v>
      </c>
      <c r="B66" s="7" t="str">
        <f>DEC2HEX(mem_dec!B66)</f>
        <v>44</v>
      </c>
      <c r="C66" s="8" t="str">
        <f>DEC2HEX(mem_dec!C66)</f>
        <v>E1</v>
      </c>
      <c r="D66" s="7" t="str">
        <f>DEC2HEX(mem_dec!D66)</f>
        <v>C7</v>
      </c>
      <c r="E66" s="27"/>
    </row>
    <row r="67" spans="1:5">
      <c r="A67" s="10" t="str">
        <f>DEC2HEX(mem_dec!A67)</f>
        <v>5E</v>
      </c>
      <c r="B67" s="9" t="str">
        <f>DEC2HEX(mem_dec!B67)</f>
        <v>BD</v>
      </c>
      <c r="C67" s="10" t="str">
        <f>DEC2HEX(mem_dec!C67)</f>
        <v>73</v>
      </c>
      <c r="D67" s="9" t="str">
        <f>DEC2HEX(mem_dec!D67)</f>
        <v>D8</v>
      </c>
      <c r="E67" s="27"/>
    </row>
    <row r="68" spans="1:5">
      <c r="A68" s="10" t="str">
        <f>DEC2HEX(mem_dec!A68)</f>
        <v>3E</v>
      </c>
      <c r="B68" s="9" t="str">
        <f>DEC2HEX(mem_dec!B68)</f>
        <v>1B</v>
      </c>
      <c r="C68" s="10" t="str">
        <f>DEC2HEX(mem_dec!C68)</f>
        <v>86</v>
      </c>
      <c r="D68" s="9" t="str">
        <f>DEC2HEX(mem_dec!D68)</f>
        <v>15</v>
      </c>
      <c r="E68" s="27"/>
    </row>
    <row r="69" spans="1:5">
      <c r="A69" s="10" t="str">
        <f>DEC2HEX(mem_dec!A69)</f>
        <v>3C</v>
      </c>
      <c r="B69" s="9" t="str">
        <f>DEC2HEX(mem_dec!B69)</f>
        <v>AB</v>
      </c>
      <c r="C69" s="10" t="str">
        <f>DEC2HEX(mem_dec!C69)</f>
        <v>52</v>
      </c>
      <c r="D69" s="9" t="str">
        <f>DEC2HEX(mem_dec!D69)</f>
        <v>75</v>
      </c>
      <c r="E69" s="27"/>
    </row>
    <row r="70" spans="1:5">
      <c r="A70" s="12" t="str">
        <f>DEC2HEX(mem_dec!A70)</f>
        <v>9A</v>
      </c>
      <c r="B70" s="11" t="str">
        <f>DEC2HEX(mem_dec!B70)</f>
        <v>BF</v>
      </c>
      <c r="C70" s="12" t="str">
        <f>DEC2HEX(mem_dec!C70)</f>
        <v>3</v>
      </c>
      <c r="D70" s="11" t="str">
        <f>DEC2HEX(mem_dec!D70)</f>
        <v>80</v>
      </c>
      <c r="E70" s="27"/>
    </row>
    <row r="71" spans="1:5">
      <c r="A71" s="7" t="str">
        <f>DEC2HEX(mem_dec!A71)</f>
        <v>3D</v>
      </c>
      <c r="B71" s="8" t="str">
        <f>DEC2HEX(mem_dec!B71)</f>
        <v>1</v>
      </c>
      <c r="C71" s="7" t="str">
        <f>DEC2HEX(mem_dec!C71)</f>
        <v>E4</v>
      </c>
      <c r="D71" s="8" t="str">
        <f>DEC2HEX(mem_dec!D71)</f>
        <v>BB</v>
      </c>
      <c r="E71" s="27"/>
    </row>
    <row r="72" spans="1:5">
      <c r="A72" s="9" t="str">
        <f>DEC2HEX(mem_dec!A72)</f>
        <v>56</v>
      </c>
      <c r="B72" s="10" t="str">
        <f>DEC2HEX(mem_dec!B72)</f>
        <v>DA</v>
      </c>
      <c r="C72" s="9" t="str">
        <f>DEC2HEX(mem_dec!C72)</f>
        <v>FE</v>
      </c>
      <c r="D72" s="10" t="str">
        <f>DEC2HEX(mem_dec!D72)</f>
        <v>6B</v>
      </c>
      <c r="E72" s="27"/>
    </row>
    <row r="73" spans="1:5">
      <c r="A73" s="9" t="str">
        <f>DEC2HEX(mem_dec!A73)</f>
        <v>4F</v>
      </c>
      <c r="B73" s="10" t="str">
        <f>DEC2HEX(mem_dec!B73)</f>
        <v>A0</v>
      </c>
      <c r="C73" s="9" t="str">
        <f>DEC2HEX(mem_dec!C73)</f>
        <v>AF</v>
      </c>
      <c r="D73" s="10" t="str">
        <f>DEC2HEX(mem_dec!D73)</f>
        <v>4F</v>
      </c>
      <c r="E73" s="27"/>
    </row>
    <row r="74" spans="1:5">
      <c r="A74" s="9" t="str">
        <f>DEC2HEX(mem_dec!A74)</f>
        <v>DF</v>
      </c>
      <c r="B74" s="10" t="str">
        <f>DEC2HEX(mem_dec!B74)</f>
        <v>64</v>
      </c>
      <c r="C74" s="9" t="str">
        <f>DEC2HEX(mem_dec!C74)</f>
        <v>F8</v>
      </c>
      <c r="D74" s="10" t="str">
        <f>DEC2HEX(mem_dec!D74)</f>
        <v>A9</v>
      </c>
      <c r="E74" s="27"/>
    </row>
    <row r="75" spans="1:5">
      <c r="A75" s="11" t="str">
        <f>DEC2HEX(mem_dec!A75)</f>
        <v>B0</v>
      </c>
      <c r="B75" s="12" t="str">
        <f>DEC2HEX(mem_dec!B75)</f>
        <v>C3</v>
      </c>
      <c r="C75" s="11" t="str">
        <f>DEC2HEX(mem_dec!C75)</f>
        <v>65</v>
      </c>
      <c r="D75" s="12" t="str">
        <f>DEC2HEX(mem_dec!D75)</f>
        <v>DA</v>
      </c>
      <c r="E75" s="27"/>
    </row>
    <row r="76" spans="1:5">
      <c r="A76" s="8" t="str">
        <f>DEC2HEX(mem_dec!A76)</f>
        <v>63</v>
      </c>
      <c r="B76" s="7" t="str">
        <f>DEC2HEX(mem_dec!B76)</f>
        <v>4</v>
      </c>
      <c r="C76" s="8" t="str">
        <f>DEC2HEX(mem_dec!C76)</f>
        <v>5A</v>
      </c>
      <c r="D76" s="7" t="str">
        <f>DEC2HEX(mem_dec!D76)</f>
        <v>89</v>
      </c>
      <c r="E76" s="27"/>
    </row>
    <row r="77" spans="1:5">
      <c r="A77" s="10" t="str">
        <f>DEC2HEX(mem_dec!A77)</f>
        <v>BD</v>
      </c>
      <c r="B77" s="9" t="str">
        <f>DEC2HEX(mem_dec!B77)</f>
        <v>F4</v>
      </c>
      <c r="C77" s="10" t="str">
        <f>DEC2HEX(mem_dec!C77)</f>
        <v>F6</v>
      </c>
      <c r="D77" s="9" t="str">
        <f>DEC2HEX(mem_dec!D77)</f>
        <v>71</v>
      </c>
      <c r="E77" s="27"/>
    </row>
    <row r="78" spans="1:5">
      <c r="A78" s="10" t="str">
        <f>DEC2HEX(mem_dec!A78)</f>
        <v>5A</v>
      </c>
      <c r="B78" s="9" t="str">
        <f>DEC2HEX(mem_dec!B78)</f>
        <v>12</v>
      </c>
      <c r="C78" s="10" t="str">
        <f>DEC2HEX(mem_dec!C78)</f>
        <v>D1</v>
      </c>
      <c r="D78" s="9" t="str">
        <f>DEC2HEX(mem_dec!D78)</f>
        <v>26</v>
      </c>
      <c r="E78" s="27"/>
    </row>
    <row r="79" spans="1:5">
      <c r="A79" s="10" t="str">
        <f>DEC2HEX(mem_dec!A79)</f>
        <v>DE</v>
      </c>
      <c r="B79" s="9" t="str">
        <f>DEC2HEX(mem_dec!B79)</f>
        <v>5B</v>
      </c>
      <c r="C79" s="10" t="str">
        <f>DEC2HEX(mem_dec!C79)</f>
        <v>53</v>
      </c>
      <c r="D79" s="9" t="str">
        <f>DEC2HEX(mem_dec!D79)</f>
        <v>AA</v>
      </c>
      <c r="E79" s="27"/>
    </row>
    <row r="80" spans="1:5">
      <c r="A80" s="12" t="str">
        <f>DEC2HEX(mem_dec!A80)</f>
        <v>7C</v>
      </c>
      <c r="B80" s="11" t="str">
        <f>DEC2HEX(mem_dec!B80)</f>
        <v>66</v>
      </c>
      <c r="C80" s="12" t="str">
        <f>DEC2HEX(mem_dec!C80)</f>
        <v>40</v>
      </c>
      <c r="D80" s="11" t="str">
        <f>DEC2HEX(mem_dec!D80)</f>
        <v>ED</v>
      </c>
      <c r="E80" s="27"/>
    </row>
    <row r="81" spans="1:4">
      <c r="A81" s="13" t="str">
        <f>DEC2HEX(mem_dec!A81)</f>
        <v>0</v>
      </c>
      <c r="B81" s="14" t="str">
        <f>DEC2HEX(mem_dec!B81)</f>
        <v>26</v>
      </c>
      <c r="C81" s="13" t="str">
        <f>DEC2HEX(mem_dec!C81)</f>
        <v>1F</v>
      </c>
      <c r="D81" s="14" t="str">
        <f>DEC2HEX(mem_dec!D81)</f>
        <v>53</v>
      </c>
    </row>
    <row r="82" spans="1:4">
      <c r="A82" s="15" t="str">
        <f>DEC2HEX(mem_dec!A82)</f>
        <v>9B</v>
      </c>
      <c r="B82" s="16" t="str">
        <f>DEC2HEX(mem_dec!B82)</f>
        <v>1</v>
      </c>
      <c r="C82" s="15" t="str">
        <f>DEC2HEX(mem_dec!C82)</f>
        <v>9A</v>
      </c>
      <c r="D82" s="16" t="str">
        <f>DEC2HEX(mem_dec!D82)</f>
        <v>2F</v>
      </c>
    </row>
    <row r="83" spans="1:4">
      <c r="A83" s="15" t="str">
        <f>DEC2HEX(mem_dec!A83)</f>
        <v>81</v>
      </c>
      <c r="B83" s="16" t="str">
        <f>DEC2HEX(mem_dec!B83)</f>
        <v>D7</v>
      </c>
      <c r="C83" s="15" t="str">
        <f>DEC2HEX(mem_dec!C83)</f>
        <v>5</v>
      </c>
      <c r="D83" s="16" t="str">
        <f>DEC2HEX(mem_dec!D83)</f>
        <v>54</v>
      </c>
    </row>
    <row r="84" spans="1:4">
      <c r="A84" s="15" t="str">
        <f>DEC2HEX(mem_dec!A84)</f>
        <v>B7</v>
      </c>
      <c r="B84" s="16" t="str">
        <f>DEC2HEX(mem_dec!B84)</f>
        <v>5</v>
      </c>
      <c r="C84" s="15" t="str">
        <f>DEC2HEX(mem_dec!C84)</f>
        <v>48</v>
      </c>
      <c r="D84" s="16" t="str">
        <f>DEC2HEX(mem_dec!D84)</f>
        <v>1B</v>
      </c>
    </row>
    <row r="85" spans="1:4">
      <c r="A85" s="15" t="str">
        <f>DEC2HEX(mem_dec!A85)</f>
        <v>F9</v>
      </c>
      <c r="B85" s="16" t="str">
        <f>DEC2HEX(mem_dec!B85)</f>
        <v>A1</v>
      </c>
      <c r="C85" s="15" t="str">
        <f>DEC2HEX(mem_dec!C85)</f>
        <v>1E</v>
      </c>
      <c r="D85" s="16" t="str">
        <f>DEC2HEX(mem_dec!D85)</f>
        <v>D8</v>
      </c>
    </row>
    <row r="86" spans="1:4">
      <c r="A86" s="15" t="str">
        <f>DEC2HEX(mem_dec!A86)</f>
        <v>3D</v>
      </c>
      <c r="B86" s="16" t="str">
        <f>DEC2HEX(mem_dec!B86)</f>
        <v>84</v>
      </c>
      <c r="C86" s="15" t="str">
        <f>DEC2HEX(mem_dec!C86)</f>
        <v>65</v>
      </c>
      <c r="D86" s="16" t="str">
        <f>DEC2HEX(mem_dec!D86)</f>
        <v>82</v>
      </c>
    </row>
    <row r="87" spans="1:4">
      <c r="A87" s="15" t="str">
        <f>DEC2HEX(mem_dec!A87)</f>
        <v>4E</v>
      </c>
      <c r="B87" s="16" t="str">
        <f>DEC2HEX(mem_dec!B87)</f>
        <v>37</v>
      </c>
      <c r="C87" s="15" t="str">
        <f>DEC2HEX(mem_dec!C87)</f>
        <v>DD</v>
      </c>
      <c r="D87" s="16" t="str">
        <f>DEC2HEX(mem_dec!D87)</f>
        <v>48</v>
      </c>
    </row>
    <row r="88" spans="1:4">
      <c r="A88" s="15" t="str">
        <f>DEC2HEX(mem_dec!A88)</f>
        <v>89</v>
      </c>
      <c r="B88" s="16" t="str">
        <f>DEC2HEX(mem_dec!B88)</f>
        <v>9C</v>
      </c>
      <c r="C88" s="15" t="str">
        <f>DEC2HEX(mem_dec!C88)</f>
        <v>97</v>
      </c>
      <c r="D88" s="16" t="str">
        <f>DEC2HEX(mem_dec!D88)</f>
        <v>5A</v>
      </c>
    </row>
    <row r="89" spans="1:4">
      <c r="A89" s="14" t="str">
        <f>DEC2HEX(mem_dec!A89)</f>
        <v>A8</v>
      </c>
      <c r="B89" s="13" t="str">
        <f>DEC2HEX(mem_dec!B89)</f>
        <v>60</v>
      </c>
      <c r="C89" s="14" t="str">
        <f>DEC2HEX(mem_dec!C89)</f>
        <v>4E</v>
      </c>
      <c r="D89" s="13" t="str">
        <f>DEC2HEX(mem_dec!D89)</f>
        <v>27</v>
      </c>
    </row>
    <row r="90" spans="1:4">
      <c r="A90" s="16" t="str">
        <f>DEC2HEX(mem_dec!A90)</f>
        <v>D5</v>
      </c>
      <c r="B90" s="15" t="str">
        <f>DEC2HEX(mem_dec!B90)</f>
        <v>6D</v>
      </c>
      <c r="C90" s="16" t="str">
        <f>DEC2HEX(mem_dec!C90)</f>
        <v>95</v>
      </c>
      <c r="D90" s="15" t="str">
        <f>DEC2HEX(mem_dec!D90)</f>
        <v>E7</v>
      </c>
    </row>
    <row r="91" spans="1:4">
      <c r="A91" s="16" t="str">
        <f>DEC2HEX(mem_dec!A91)</f>
        <v>D5</v>
      </c>
      <c r="B91" s="15" t="str">
        <f>DEC2HEX(mem_dec!B91)</f>
        <v>2A</v>
      </c>
      <c r="C91" s="16" t="str">
        <f>DEC2HEX(mem_dec!C91)</f>
        <v>64</v>
      </c>
      <c r="D91" s="15" t="str">
        <f>DEC2HEX(mem_dec!D91)</f>
        <v>D1</v>
      </c>
    </row>
    <row r="92" spans="1:4">
      <c r="A92" s="16" t="str">
        <f>DEC2HEX(mem_dec!A92)</f>
        <v>C1</v>
      </c>
      <c r="B92" s="15" t="str">
        <f>DEC2HEX(mem_dec!B92)</f>
        <v>1D</v>
      </c>
      <c r="C92" s="16" t="str">
        <f>DEC2HEX(mem_dec!C92)</f>
        <v>F2</v>
      </c>
      <c r="D92" s="15" t="str">
        <f>DEC2HEX(mem_dec!D92)</f>
        <v>36</v>
      </c>
    </row>
    <row r="93" spans="1:4">
      <c r="A93" s="16" t="str">
        <f>DEC2HEX(mem_dec!A93)</f>
        <v>D6</v>
      </c>
      <c r="B93" s="15" t="str">
        <f>DEC2HEX(mem_dec!B93)</f>
        <v>FF</v>
      </c>
      <c r="C93" s="16" t="str">
        <f>DEC2HEX(mem_dec!C93)</f>
        <v>2B</v>
      </c>
      <c r="D93" s="15" t="str">
        <f>DEC2HEX(mem_dec!D93)</f>
        <v>E6</v>
      </c>
    </row>
    <row r="94" spans="1:4">
      <c r="A94" s="16" t="str">
        <f>DEC2HEX(mem_dec!A94)</f>
        <v>29</v>
      </c>
      <c r="B94" s="15" t="str">
        <f>DEC2HEX(mem_dec!B94)</f>
        <v>DC</v>
      </c>
      <c r="C94" s="16" t="str">
        <f>DEC2HEX(mem_dec!C94)</f>
        <v>9C</v>
      </c>
      <c r="D94" s="15" t="str">
        <f>DEC2HEX(mem_dec!D94)</f>
        <v>13</v>
      </c>
    </row>
    <row r="95" spans="1:4">
      <c r="A95" s="16" t="str">
        <f>DEC2HEX(mem_dec!A95)</f>
        <v>EF</v>
      </c>
      <c r="B95" s="15" t="str">
        <f>DEC2HEX(mem_dec!B95)</f>
        <v>4F</v>
      </c>
      <c r="C95" s="16" t="str">
        <f>DEC2HEX(mem_dec!C95)</f>
        <v>C4</v>
      </c>
      <c r="D95" s="15" t="str">
        <f>DEC2HEX(mem_dec!D95)</f>
        <v>5B</v>
      </c>
    </row>
    <row r="96" spans="1:4">
      <c r="A96" s="16" t="str">
        <f>DEC2HEX(mem_dec!A96)</f>
        <v>71</v>
      </c>
      <c r="B96" s="15" t="str">
        <f>DEC2HEX(mem_dec!B96)</f>
        <v>DC</v>
      </c>
      <c r="C96" s="16" t="str">
        <f>DEC2HEX(mem_dec!C96)</f>
        <v>B8</v>
      </c>
      <c r="D96" s="15" t="str">
        <f>DEC2HEX(mem_dec!D96)</f>
        <v>85</v>
      </c>
    </row>
    <row r="97" spans="1:4">
      <c r="A97" s="13" t="str">
        <f>DEC2HEX(mem_dec!A97)</f>
        <v>56</v>
      </c>
      <c r="B97" s="14" t="str">
        <f>DEC2HEX(mem_dec!B97)</f>
        <v>48</v>
      </c>
      <c r="C97" s="13" t="str">
        <f>DEC2HEX(mem_dec!C97)</f>
        <v>1B</v>
      </c>
      <c r="D97" s="14" t="str">
        <f>DEC2HEX(mem_dec!D97)</f>
        <v>95</v>
      </c>
    </row>
    <row r="98" spans="1:4">
      <c r="A98" s="15" t="str">
        <f>DEC2HEX(mem_dec!A98)</f>
        <v>90</v>
      </c>
      <c r="B98" s="16" t="str">
        <f>DEC2HEX(mem_dec!B98)</f>
        <v>25</v>
      </c>
      <c r="C98" s="15" t="str">
        <f>DEC2HEX(mem_dec!C98)</f>
        <v>3A</v>
      </c>
      <c r="D98" s="16" t="str">
        <f>DEC2HEX(mem_dec!D98)</f>
        <v>D9</v>
      </c>
    </row>
    <row r="99" spans="1:4">
      <c r="A99" s="15" t="str">
        <f>DEC2HEX(mem_dec!A99)</f>
        <v>46</v>
      </c>
      <c r="B99" s="16" t="str">
        <f>DEC2HEX(mem_dec!B99)</f>
        <v>2E</v>
      </c>
      <c r="C99" s="15" t="str">
        <f>DEC2HEX(mem_dec!C99)</f>
        <v>1A</v>
      </c>
      <c r="D99" s="16" t="str">
        <f>DEC2HEX(mem_dec!D99)</f>
        <v>1B</v>
      </c>
    </row>
    <row r="100" spans="1:4">
      <c r="A100" s="15" t="str">
        <f>DEC2HEX(mem_dec!A100)</f>
        <v>94</v>
      </c>
      <c r="B100" s="16" t="str">
        <f>DEC2HEX(mem_dec!B100)</f>
        <v>98</v>
      </c>
      <c r="C100" s="15" t="str">
        <f>DEC2HEX(mem_dec!C100)</f>
        <v>94</v>
      </c>
      <c r="D100" s="16" t="str">
        <f>DEC2HEX(mem_dec!D100)</f>
        <v>25</v>
      </c>
    </row>
    <row r="101" spans="1:4">
      <c r="A101" s="15" t="str">
        <f>DEC2HEX(mem_dec!A101)</f>
        <v>F7</v>
      </c>
      <c r="B101" s="16" t="str">
        <f>DEC2HEX(mem_dec!B101)</f>
        <v>A4</v>
      </c>
      <c r="C101" s="15" t="str">
        <f>DEC2HEX(mem_dec!C101)</f>
        <v>27</v>
      </c>
      <c r="D101" s="16" t="str">
        <f>DEC2HEX(mem_dec!D101)</f>
        <v>D5</v>
      </c>
    </row>
    <row r="102" spans="1:4">
      <c r="A102" s="15" t="str">
        <f>DEC2HEX(mem_dec!A102)</f>
        <v>10</v>
      </c>
      <c r="B102" s="16" t="str">
        <f>DEC2HEX(mem_dec!B102)</f>
        <v>F1</v>
      </c>
      <c r="C102" s="15" t="str">
        <f>DEC2HEX(mem_dec!C102)</f>
        <v>83</v>
      </c>
      <c r="D102" s="16" t="str">
        <f>DEC2HEX(mem_dec!D102)</f>
        <v>56</v>
      </c>
    </row>
    <row r="103" spans="1:4">
      <c r="A103" s="15" t="str">
        <f>DEC2HEX(mem_dec!A103)</f>
        <v>BA</v>
      </c>
      <c r="B103" s="16" t="str">
        <f>DEC2HEX(mem_dec!B103)</f>
        <v>EE</v>
      </c>
      <c r="C103" s="15" t="str">
        <f>DEC2HEX(mem_dec!C103)</f>
        <v>1</v>
      </c>
      <c r="D103" s="16" t="str">
        <f>DEC2HEX(mem_dec!D103)</f>
        <v>D0</v>
      </c>
    </row>
    <row r="104" spans="1:4">
      <c r="A104" s="15" t="str">
        <f>DEC2HEX(mem_dec!A104)</f>
        <v>BF</v>
      </c>
      <c r="B104" s="16" t="str">
        <f>DEC2HEX(mem_dec!B104)</f>
        <v>57</v>
      </c>
      <c r="C104" s="15" t="str">
        <f>DEC2HEX(mem_dec!C104)</f>
        <v>F8</v>
      </c>
      <c r="D104" s="16" t="str">
        <f>DEC2HEX(mem_dec!D104)</f>
        <v>23</v>
      </c>
    </row>
    <row r="105" spans="1:4">
      <c r="A105" s="14" t="str">
        <f>DEC2HEX(mem_dec!A105)</f>
        <v>BF</v>
      </c>
      <c r="B105" s="13" t="str">
        <f>DEC2HEX(mem_dec!B105)</f>
        <v>EA</v>
      </c>
      <c r="C105" s="14" t="str">
        <f>DEC2HEX(mem_dec!C105)</f>
        <v>B</v>
      </c>
      <c r="D105" s="13" t="str">
        <f>DEC2HEX(mem_dec!D105)</f>
        <v>38</v>
      </c>
    </row>
    <row r="106" spans="1:4">
      <c r="A106" s="16" t="str">
        <f>DEC2HEX(mem_dec!A106)</f>
        <v>81</v>
      </c>
      <c r="B106" s="15" t="str">
        <f>DEC2HEX(mem_dec!B106)</f>
        <v>59</v>
      </c>
      <c r="C106" s="16" t="str">
        <f>DEC2HEX(mem_dec!C106)</f>
        <v>A3</v>
      </c>
      <c r="D106" s="15" t="str">
        <f>DEC2HEX(mem_dec!D106)</f>
        <v>79</v>
      </c>
    </row>
    <row r="107" spans="1:4">
      <c r="A107" s="16" t="str">
        <f>DEC2HEX(mem_dec!A107)</f>
        <v>58</v>
      </c>
      <c r="B107" s="15" t="str">
        <f>DEC2HEX(mem_dec!B107)</f>
        <v>C8</v>
      </c>
      <c r="C107" s="16" t="str">
        <f>DEC2HEX(mem_dec!C107)</f>
        <v>6E</v>
      </c>
      <c r="D107" s="15" t="str">
        <f>DEC2HEX(mem_dec!D107)</f>
        <v>71</v>
      </c>
    </row>
    <row r="108" spans="1:4">
      <c r="A108" s="16" t="str">
        <f>DEC2HEX(mem_dec!A108)</f>
        <v>84</v>
      </c>
      <c r="B108" s="15" t="str">
        <f>DEC2HEX(mem_dec!B108)</f>
        <v>E</v>
      </c>
      <c r="C108" s="16" t="str">
        <f>DEC2HEX(mem_dec!C108)</f>
        <v>C8</v>
      </c>
      <c r="D108" s="15" t="str">
        <f>DEC2HEX(mem_dec!D108)</f>
        <v>89</v>
      </c>
    </row>
    <row r="109" spans="1:4">
      <c r="A109" s="16" t="str">
        <f>DEC2HEX(mem_dec!A109)</f>
        <v>D</v>
      </c>
      <c r="B109" s="15" t="str">
        <f>DEC2HEX(mem_dec!B109)</f>
        <v>9C</v>
      </c>
      <c r="C109" s="16" t="str">
        <f>DEC2HEX(mem_dec!C109)</f>
        <v>FD</v>
      </c>
      <c r="D109" s="15" t="str">
        <f>DEC2HEX(mem_dec!D109)</f>
        <v>A8</v>
      </c>
    </row>
    <row r="110" spans="1:4">
      <c r="A110" s="16" t="str">
        <f>DEC2HEX(mem_dec!A110)</f>
        <v>5A</v>
      </c>
      <c r="B110" s="15" t="str">
        <f>DEC2HEX(mem_dec!B110)</f>
        <v>EF</v>
      </c>
      <c r="C110" s="16" t="str">
        <f>DEC2HEX(mem_dec!C110)</f>
        <v>4A</v>
      </c>
      <c r="D110" s="15" t="str">
        <f>DEC2HEX(mem_dec!D110)</f>
        <v>D6</v>
      </c>
    </row>
    <row r="111" spans="1:4">
      <c r="A111" s="16" t="str">
        <f>DEC2HEX(mem_dec!A111)</f>
        <v>6E</v>
      </c>
      <c r="B111" s="15" t="str">
        <f>DEC2HEX(mem_dec!B111)</f>
        <v>69</v>
      </c>
      <c r="C111" s="16" t="str">
        <f>DEC2HEX(mem_dec!C111)</f>
        <v>82</v>
      </c>
      <c r="D111" s="15" t="str">
        <f>DEC2HEX(mem_dec!D111)</f>
        <v>89</v>
      </c>
    </row>
    <row r="112" spans="1:4">
      <c r="A112" s="16" t="str">
        <f>DEC2HEX(mem_dec!A112)</f>
        <v>4C</v>
      </c>
      <c r="B112" s="15" t="str">
        <f>DEC2HEX(mem_dec!B112)</f>
        <v>ED</v>
      </c>
      <c r="C112" s="16" t="str">
        <f>DEC2HEX(mem_dec!C112)</f>
        <v>D6</v>
      </c>
      <c r="D112" s="15" t="str">
        <f>DEC2HEX(mem_dec!D112)</f>
        <v>5F</v>
      </c>
    </row>
    <row r="113" spans="1:4">
      <c r="A113" s="22" t="str">
        <f>DEC2HEX(mem_dec!A113)</f>
        <v>0</v>
      </c>
      <c r="B113" s="22" t="str">
        <f>DEC2HEX(mem_dec!B113)</f>
        <v>0</v>
      </c>
      <c r="C113" s="22" t="str">
        <f>DEC2HEX(mem_dec!C113)</f>
        <v>0</v>
      </c>
      <c r="D113" s="22" t="str">
        <f>DEC2HEX(mem_dec!D113)</f>
        <v>0</v>
      </c>
    </row>
    <row r="114" spans="1:4">
      <c r="A114" s="22" t="str">
        <f>DEC2HEX(mem_dec!A114)</f>
        <v>0</v>
      </c>
      <c r="B114" s="22" t="str">
        <f>DEC2HEX(mem_dec!B114)</f>
        <v>0</v>
      </c>
      <c r="C114" s="22" t="str">
        <f>DEC2HEX(mem_dec!C114)</f>
        <v>0</v>
      </c>
      <c r="D114" s="22" t="str">
        <f>DEC2HEX(mem_dec!D114)</f>
        <v>0</v>
      </c>
    </row>
    <row r="115" spans="1:4">
      <c r="A115" s="22" t="str">
        <f>DEC2HEX(mem_dec!A115)</f>
        <v>0</v>
      </c>
      <c r="B115" s="22" t="str">
        <f>DEC2HEX(mem_dec!B115)</f>
        <v>0</v>
      </c>
      <c r="C115" s="22" t="str">
        <f>DEC2HEX(mem_dec!C115)</f>
        <v>0</v>
      </c>
      <c r="D115" s="22" t="str">
        <f>DEC2HEX(mem_dec!D115)</f>
        <v>0</v>
      </c>
    </row>
    <row r="116" spans="1:4">
      <c r="A116" s="22" t="str">
        <f>DEC2HEX(mem_dec!A116)</f>
        <v>0</v>
      </c>
      <c r="B116" s="22" t="str">
        <f>DEC2HEX(mem_dec!B116)</f>
        <v>0</v>
      </c>
      <c r="C116" s="22" t="str">
        <f>DEC2HEX(mem_dec!C116)</f>
        <v>0</v>
      </c>
      <c r="D116" s="22" t="str">
        <f>DEC2HEX(mem_dec!D116)</f>
        <v>0</v>
      </c>
    </row>
    <row r="117" spans="1:4">
      <c r="A117" s="19" t="str">
        <f>DEC2HEX(mem_dec!A117)</f>
        <v>0</v>
      </c>
      <c r="B117" s="19" t="str">
        <f>DEC2HEX(mem_dec!B117)</f>
        <v>0</v>
      </c>
      <c r="C117" s="19" t="str">
        <f>DEC2HEX(mem_dec!C117)</f>
        <v>0</v>
      </c>
      <c r="D117" s="19" t="str">
        <f>DEC2HEX(mem_dec!D117)</f>
        <v>0</v>
      </c>
    </row>
    <row r="118" spans="1:4">
      <c r="A118" s="19" t="str">
        <f>DEC2HEX(mem_dec!A118)</f>
        <v>0</v>
      </c>
      <c r="B118" s="19" t="str">
        <f>DEC2HEX(mem_dec!B118)</f>
        <v>0</v>
      </c>
      <c r="C118" s="19" t="str">
        <f>DEC2HEX(mem_dec!C118)</f>
        <v>0</v>
      </c>
      <c r="D118" s="19" t="str">
        <f>DEC2HEX(mem_dec!D118)</f>
        <v>0</v>
      </c>
    </row>
    <row r="119" spans="1:4">
      <c r="A119" s="19" t="str">
        <f>DEC2HEX(mem_dec!A119)</f>
        <v>0</v>
      </c>
      <c r="B119" s="19" t="str">
        <f>DEC2HEX(mem_dec!B119)</f>
        <v>0</v>
      </c>
      <c r="C119" s="19" t="str">
        <f>DEC2HEX(mem_dec!C119)</f>
        <v>0</v>
      </c>
      <c r="D119" s="19" t="str">
        <f>DEC2HEX(mem_dec!D119)</f>
        <v>0</v>
      </c>
    </row>
    <row r="120" spans="1:4">
      <c r="A120" s="19" t="str">
        <f>DEC2HEX(mem_dec!A120)</f>
        <v>0</v>
      </c>
      <c r="B120" s="19" t="str">
        <f>DEC2HEX(mem_dec!B120)</f>
        <v>0</v>
      </c>
      <c r="C120" s="19" t="str">
        <f>DEC2HEX(mem_dec!C120)</f>
        <v>0</v>
      </c>
      <c r="D120" s="19" t="str">
        <f>DEC2HEX(mem_dec!D120)</f>
        <v>0</v>
      </c>
    </row>
    <row r="121" spans="1:4">
      <c r="A121" s="19" t="str">
        <f>DEC2HEX(mem_dec!A121)</f>
        <v>0</v>
      </c>
      <c r="B121" s="19" t="str">
        <f>DEC2HEX(mem_dec!B121)</f>
        <v>0</v>
      </c>
      <c r="C121" s="19" t="str">
        <f>DEC2HEX(mem_dec!C121)</f>
        <v>0</v>
      </c>
      <c r="D121" s="19" t="str">
        <f>DEC2HEX(mem_dec!D121)</f>
        <v>0</v>
      </c>
    </row>
    <row r="122" spans="1:4">
      <c r="A122" s="19" t="str">
        <f>DEC2HEX(mem_dec!A122)</f>
        <v>0</v>
      </c>
      <c r="B122" s="19" t="str">
        <f>DEC2HEX(mem_dec!B122)</f>
        <v>0</v>
      </c>
      <c r="C122" s="19" t="str">
        <f>DEC2HEX(mem_dec!C122)</f>
        <v>0</v>
      </c>
      <c r="D122" s="19" t="str">
        <f>DEC2HEX(mem_dec!D122)</f>
        <v>0</v>
      </c>
    </row>
    <row r="123" spans="1:4">
      <c r="A123" s="19" t="str">
        <f>DEC2HEX(mem_dec!A123)</f>
        <v>0</v>
      </c>
      <c r="B123" s="19" t="str">
        <f>DEC2HEX(mem_dec!B123)</f>
        <v>0</v>
      </c>
      <c r="C123" s="19" t="str">
        <f>DEC2HEX(mem_dec!C123)</f>
        <v>0</v>
      </c>
      <c r="D123" s="19" t="str">
        <f>DEC2HEX(mem_dec!D123)</f>
        <v>0</v>
      </c>
    </row>
    <row r="124" spans="1:4">
      <c r="A124" s="19" t="str">
        <f>DEC2HEX(mem_dec!A124)</f>
        <v>0</v>
      </c>
      <c r="B124" s="19" t="str">
        <f>DEC2HEX(mem_dec!B124)</f>
        <v>0</v>
      </c>
      <c r="C124" s="19" t="str">
        <f>DEC2HEX(mem_dec!C124)</f>
        <v>0</v>
      </c>
      <c r="D124" s="19" t="str">
        <f>DEC2HEX(mem_dec!D124)</f>
        <v>0</v>
      </c>
    </row>
    <row r="125" spans="1:4">
      <c r="A125" s="19" t="str">
        <f>DEC2HEX(mem_dec!A125)</f>
        <v>0</v>
      </c>
      <c r="B125" s="19" t="str">
        <f>DEC2HEX(mem_dec!B125)</f>
        <v>0</v>
      </c>
      <c r="C125" s="19" t="str">
        <f>DEC2HEX(mem_dec!C125)</f>
        <v>0</v>
      </c>
      <c r="D125" s="19" t="str">
        <f>DEC2HEX(mem_dec!D125)</f>
        <v>0</v>
      </c>
    </row>
    <row r="126" spans="1:4">
      <c r="A126" s="19" t="str">
        <f>DEC2HEX(mem_dec!A126)</f>
        <v>0</v>
      </c>
      <c r="B126" s="19" t="str">
        <f>DEC2HEX(mem_dec!B126)</f>
        <v>0</v>
      </c>
      <c r="C126" s="19" t="str">
        <f>DEC2HEX(mem_dec!C126)</f>
        <v>0</v>
      </c>
      <c r="D126" s="19" t="str">
        <f>DEC2HEX(mem_dec!D126)</f>
        <v>0</v>
      </c>
    </row>
    <row r="127" spans="1:4">
      <c r="A127" s="19" t="str">
        <f>DEC2HEX(mem_dec!A127)</f>
        <v>0</v>
      </c>
      <c r="B127" s="19" t="str">
        <f>DEC2HEX(mem_dec!B127)</f>
        <v>0</v>
      </c>
      <c r="C127" s="19" t="str">
        <f>DEC2HEX(mem_dec!C127)</f>
        <v>0</v>
      </c>
      <c r="D127" s="19" t="str">
        <f>DEC2HEX(mem_dec!D127)</f>
        <v>0</v>
      </c>
    </row>
    <row r="128" spans="1:4">
      <c r="A128" s="19" t="str">
        <f>DEC2HEX(mem_dec!A128)</f>
        <v>0</v>
      </c>
      <c r="B128" s="19" t="str">
        <f>DEC2HEX(mem_dec!B128)</f>
        <v>0</v>
      </c>
      <c r="C128" s="19" t="str">
        <f>DEC2HEX(mem_dec!C128)</f>
        <v>0</v>
      </c>
      <c r="D128" s="19" t="str">
        <f>DEC2HEX(mem_dec!D128)</f>
        <v>0</v>
      </c>
    </row>
    <row r="129" spans="1:4">
      <c r="A129" t="str">
        <f>DEC2HEX(mem_dec!A129)</f>
        <v>0</v>
      </c>
      <c r="B129" t="str">
        <f>DEC2HEX(mem_dec!B129)</f>
        <v>0</v>
      </c>
      <c r="C129" t="str">
        <f>DEC2HEX(mem_dec!C129)</f>
        <v>0</v>
      </c>
      <c r="D129" t="str">
        <f>DEC2HEX(mem_dec!D129)</f>
        <v>0</v>
      </c>
    </row>
    <row r="130" spans="1:4">
      <c r="A130" t="str">
        <f>DEC2HEX(mem_dec!A130)</f>
        <v>0</v>
      </c>
      <c r="B130" t="str">
        <f>DEC2HEX(mem_dec!B130)</f>
        <v>0</v>
      </c>
      <c r="C130" t="str">
        <f>DEC2HEX(mem_dec!C130)</f>
        <v>0</v>
      </c>
      <c r="D130" t="str">
        <f>DEC2HEX(mem_dec!D130)</f>
        <v>0</v>
      </c>
    </row>
    <row r="131" spans="1:4">
      <c r="A131" t="str">
        <f>DEC2HEX(mem_dec!A131)</f>
        <v>0</v>
      </c>
      <c r="B131" t="str">
        <f>DEC2HEX(mem_dec!B131)</f>
        <v>0</v>
      </c>
      <c r="C131" t="str">
        <f>DEC2HEX(mem_dec!C131)</f>
        <v>0</v>
      </c>
      <c r="D131" t="str">
        <f>DEC2HEX(mem_dec!D131)</f>
        <v>0</v>
      </c>
    </row>
    <row r="132" spans="1:4">
      <c r="A132" t="str">
        <f>DEC2HEX(mem_dec!A132)</f>
        <v>0</v>
      </c>
      <c r="B132" t="str">
        <f>DEC2HEX(mem_dec!B132)</f>
        <v>0</v>
      </c>
      <c r="C132" t="str">
        <f>DEC2HEX(mem_dec!C132)</f>
        <v>0</v>
      </c>
      <c r="D132" t="str">
        <f>DEC2HEX(mem_dec!D132)</f>
        <v>0</v>
      </c>
    </row>
    <row r="133" spans="1:4">
      <c r="A133" t="str">
        <f>DEC2HEX(mem_dec!A133)</f>
        <v>0</v>
      </c>
      <c r="B133" t="str">
        <f>DEC2HEX(mem_dec!B133)</f>
        <v>0</v>
      </c>
      <c r="C133" t="str">
        <f>DEC2HEX(mem_dec!C133)</f>
        <v>0</v>
      </c>
      <c r="D133" t="str">
        <f>DEC2HEX(mem_dec!D133)</f>
        <v>0</v>
      </c>
    </row>
    <row r="134" spans="1:4">
      <c r="A134" t="str">
        <f>DEC2HEX(mem_dec!A134)</f>
        <v>0</v>
      </c>
      <c r="B134" t="str">
        <f>DEC2HEX(mem_dec!B134)</f>
        <v>0</v>
      </c>
      <c r="C134" t="str">
        <f>DEC2HEX(mem_dec!C134)</f>
        <v>0</v>
      </c>
      <c r="D134" t="str">
        <f>DEC2HEX(mem_dec!D134)</f>
        <v>0</v>
      </c>
    </row>
    <row r="135" spans="1:4">
      <c r="A135" t="str">
        <f>DEC2HEX(mem_dec!A135)</f>
        <v>0</v>
      </c>
      <c r="B135" t="str">
        <f>DEC2HEX(mem_dec!B135)</f>
        <v>0</v>
      </c>
      <c r="C135" t="str">
        <f>DEC2HEX(mem_dec!C135)</f>
        <v>0</v>
      </c>
      <c r="D135" t="str">
        <f>DEC2HEX(mem_dec!D135)</f>
        <v>0</v>
      </c>
    </row>
    <row r="136" spans="1:4">
      <c r="A136" t="str">
        <f>DEC2HEX(mem_dec!A136)</f>
        <v>0</v>
      </c>
      <c r="B136" t="str">
        <f>DEC2HEX(mem_dec!B136)</f>
        <v>0</v>
      </c>
      <c r="C136" t="str">
        <f>DEC2HEX(mem_dec!C136)</f>
        <v>0</v>
      </c>
      <c r="D136" t="str">
        <f>DEC2HEX(mem_dec!D136)</f>
        <v>0</v>
      </c>
    </row>
    <row r="137" spans="1:4">
      <c r="A137" t="str">
        <f>DEC2HEX(mem_dec!A137)</f>
        <v>0</v>
      </c>
      <c r="B137" t="str">
        <f>DEC2HEX(mem_dec!B137)</f>
        <v>0</v>
      </c>
      <c r="C137" t="str">
        <f>DEC2HEX(mem_dec!C137)</f>
        <v>0</v>
      </c>
      <c r="D137" t="str">
        <f>DEC2HEX(mem_dec!D137)</f>
        <v>0</v>
      </c>
    </row>
    <row r="138" spans="1:4">
      <c r="A138" t="str">
        <f>DEC2HEX(mem_dec!A138)</f>
        <v>0</v>
      </c>
      <c r="B138" t="str">
        <f>DEC2HEX(mem_dec!B138)</f>
        <v>0</v>
      </c>
      <c r="C138" t="str">
        <f>DEC2HEX(mem_dec!C138)</f>
        <v>0</v>
      </c>
      <c r="D138" t="str">
        <f>DEC2HEX(mem_dec!D138)</f>
        <v>0</v>
      </c>
    </row>
    <row r="139" spans="1:4">
      <c r="A139" t="str">
        <f>DEC2HEX(mem_dec!A139)</f>
        <v>0</v>
      </c>
      <c r="B139" t="str">
        <f>DEC2HEX(mem_dec!B139)</f>
        <v>0</v>
      </c>
      <c r="C139" t="str">
        <f>DEC2HEX(mem_dec!C139)</f>
        <v>0</v>
      </c>
      <c r="D139" t="str">
        <f>DEC2HEX(mem_dec!D139)</f>
        <v>0</v>
      </c>
    </row>
    <row r="140" spans="1:4">
      <c r="A140" t="str">
        <f>DEC2HEX(mem_dec!A140)</f>
        <v>0</v>
      </c>
      <c r="B140" t="str">
        <f>DEC2HEX(mem_dec!B140)</f>
        <v>0</v>
      </c>
      <c r="C140" t="str">
        <f>DEC2HEX(mem_dec!C140)</f>
        <v>0</v>
      </c>
      <c r="D140" t="str">
        <f>DEC2HEX(mem_dec!D140)</f>
        <v>0</v>
      </c>
    </row>
    <row r="141" spans="1:4">
      <c r="A141" t="str">
        <f>DEC2HEX(mem_dec!A141)</f>
        <v>0</v>
      </c>
      <c r="B141" t="str">
        <f>DEC2HEX(mem_dec!B141)</f>
        <v>0</v>
      </c>
      <c r="C141" t="str">
        <f>DEC2HEX(mem_dec!C141)</f>
        <v>0</v>
      </c>
      <c r="D141" t="str">
        <f>DEC2HEX(mem_dec!D141)</f>
        <v>0</v>
      </c>
    </row>
    <row r="142" spans="1:4">
      <c r="A142" t="str">
        <f>DEC2HEX(mem_dec!A142)</f>
        <v>0</v>
      </c>
      <c r="B142" t="str">
        <f>DEC2HEX(mem_dec!B142)</f>
        <v>0</v>
      </c>
      <c r="C142" t="str">
        <f>DEC2HEX(mem_dec!C142)</f>
        <v>0</v>
      </c>
      <c r="D142" t="str">
        <f>DEC2HEX(mem_dec!D142)</f>
        <v>0</v>
      </c>
    </row>
    <row r="143" spans="1:4">
      <c r="A143" t="str">
        <f>DEC2HEX(mem_dec!A143)</f>
        <v>0</v>
      </c>
      <c r="B143" t="str">
        <f>DEC2HEX(mem_dec!B143)</f>
        <v>0</v>
      </c>
      <c r="C143" t="str">
        <f>DEC2HEX(mem_dec!C143)</f>
        <v>0</v>
      </c>
      <c r="D143" t="str">
        <f>DEC2HEX(mem_dec!D143)</f>
        <v>0</v>
      </c>
    </row>
    <row r="144" spans="1:4">
      <c r="A144" t="str">
        <f>DEC2HEX(mem_dec!A144)</f>
        <v>0</v>
      </c>
      <c r="B144" t="str">
        <f>DEC2HEX(mem_dec!B144)</f>
        <v>0</v>
      </c>
      <c r="C144" t="str">
        <f>DEC2HEX(mem_dec!C144)</f>
        <v>0</v>
      </c>
      <c r="D144" t="str">
        <f>DEC2HEX(mem_dec!D144)</f>
        <v>0</v>
      </c>
    </row>
    <row r="145" spans="1:4">
      <c r="A145" t="str">
        <f>DEC2HEX(mem_dec!A145)</f>
        <v>0</v>
      </c>
      <c r="B145" t="str">
        <f>DEC2HEX(mem_dec!B145)</f>
        <v>0</v>
      </c>
      <c r="C145" t="str">
        <f>DEC2HEX(mem_dec!C145)</f>
        <v>0</v>
      </c>
      <c r="D145" t="str">
        <f>DEC2HEX(mem_dec!D145)</f>
        <v>0</v>
      </c>
    </row>
    <row r="146" spans="1:4">
      <c r="A146" t="str">
        <f>DEC2HEX(mem_dec!A146)</f>
        <v>0</v>
      </c>
      <c r="B146" t="str">
        <f>DEC2HEX(mem_dec!B146)</f>
        <v>0</v>
      </c>
      <c r="C146" t="str">
        <f>DEC2HEX(mem_dec!C146)</f>
        <v>0</v>
      </c>
      <c r="D146" t="str">
        <f>DEC2HEX(mem_dec!D146)</f>
        <v>0</v>
      </c>
    </row>
    <row r="147" spans="1:4">
      <c r="A147" t="str">
        <f>DEC2HEX(mem_dec!A147)</f>
        <v>0</v>
      </c>
      <c r="B147" t="str">
        <f>DEC2HEX(mem_dec!B147)</f>
        <v>0</v>
      </c>
      <c r="C147" t="str">
        <f>DEC2HEX(mem_dec!C147)</f>
        <v>0</v>
      </c>
      <c r="D147" t="str">
        <f>DEC2HEX(mem_dec!D147)</f>
        <v>0</v>
      </c>
    </row>
    <row r="148" spans="1:4">
      <c r="A148" t="str">
        <f>DEC2HEX(mem_dec!A148)</f>
        <v>0</v>
      </c>
      <c r="B148" t="str">
        <f>DEC2HEX(mem_dec!B148)</f>
        <v>0</v>
      </c>
      <c r="C148" t="str">
        <f>DEC2HEX(mem_dec!C148)</f>
        <v>0</v>
      </c>
      <c r="D148" t="str">
        <f>DEC2HEX(mem_dec!D148)</f>
        <v>0</v>
      </c>
    </row>
    <row r="149" spans="1:4">
      <c r="A149" t="str">
        <f>DEC2HEX(mem_dec!A149)</f>
        <v>0</v>
      </c>
      <c r="B149" t="str">
        <f>DEC2HEX(mem_dec!B149)</f>
        <v>0</v>
      </c>
      <c r="C149" t="str">
        <f>DEC2HEX(mem_dec!C149)</f>
        <v>0</v>
      </c>
      <c r="D149" t="str">
        <f>DEC2HEX(mem_dec!D149)</f>
        <v>0</v>
      </c>
    </row>
    <row r="150" spans="1:4">
      <c r="A150" t="str">
        <f>DEC2HEX(mem_dec!A150)</f>
        <v>0</v>
      </c>
      <c r="B150" t="str">
        <f>DEC2HEX(mem_dec!B150)</f>
        <v>0</v>
      </c>
      <c r="C150" t="str">
        <f>DEC2HEX(mem_dec!C150)</f>
        <v>0</v>
      </c>
      <c r="D150" t="str">
        <f>DEC2HEX(mem_dec!D150)</f>
        <v>0</v>
      </c>
    </row>
    <row r="151" spans="1:4">
      <c r="A151" t="str">
        <f>DEC2HEX(mem_dec!A151)</f>
        <v>0</v>
      </c>
      <c r="B151" t="str">
        <f>DEC2HEX(mem_dec!B151)</f>
        <v>0</v>
      </c>
      <c r="C151" t="str">
        <f>DEC2HEX(mem_dec!C151)</f>
        <v>0</v>
      </c>
      <c r="D151" t="str">
        <f>DEC2HEX(mem_dec!D151)</f>
        <v>0</v>
      </c>
    </row>
    <row r="152" spans="1:4">
      <c r="A152" t="str">
        <f>DEC2HEX(mem_dec!A152)</f>
        <v>0</v>
      </c>
      <c r="B152" t="str">
        <f>DEC2HEX(mem_dec!B152)</f>
        <v>0</v>
      </c>
      <c r="C152" t="str">
        <f>DEC2HEX(mem_dec!C152)</f>
        <v>0</v>
      </c>
      <c r="D152" t="str">
        <f>DEC2HEX(mem_dec!D152)</f>
        <v>0</v>
      </c>
    </row>
    <row r="153" spans="1:4">
      <c r="A153" t="str">
        <f>DEC2HEX(mem_dec!A153)</f>
        <v>0</v>
      </c>
      <c r="B153" t="str">
        <f>DEC2HEX(mem_dec!B153)</f>
        <v>0</v>
      </c>
      <c r="C153" t="str">
        <f>DEC2HEX(mem_dec!C153)</f>
        <v>0</v>
      </c>
      <c r="D153" t="str">
        <f>DEC2HEX(mem_dec!D153)</f>
        <v>0</v>
      </c>
    </row>
    <row r="154" spans="1:4">
      <c r="A154" t="str">
        <f>DEC2HEX(mem_dec!A154)</f>
        <v>0</v>
      </c>
      <c r="B154" t="str">
        <f>DEC2HEX(mem_dec!B154)</f>
        <v>0</v>
      </c>
      <c r="C154" t="str">
        <f>DEC2HEX(mem_dec!C154)</f>
        <v>0</v>
      </c>
      <c r="D154" t="str">
        <f>DEC2HEX(mem_dec!D154)</f>
        <v>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B6F-63FB-4815-8995-57121255FB68}">
  <sheetPr codeName="Foglio2"/>
  <dimension ref="A1:J80"/>
  <sheetViews>
    <sheetView workbookViewId="0">
      <selection activeCell="I45" sqref="I45"/>
    </sheetView>
  </sheetViews>
  <sheetFormatPr defaultRowHeight="14.25"/>
  <cols>
    <col min="7" max="7" width="12.5" customWidth="1"/>
    <col min="10" max="10" width="23.25" customWidth="1"/>
  </cols>
  <sheetData>
    <row r="1" spans="1:9">
      <c r="A1" s="17">
        <f>mem_dec!A1*mem_dec!A81</f>
        <v>0</v>
      </c>
      <c r="B1" s="17">
        <f>mem_dec!B1*mem_dec!B81</f>
        <v>9348</v>
      </c>
      <c r="C1" s="17">
        <f>mem_dec!C1*mem_dec!C81</f>
        <v>2263</v>
      </c>
      <c r="D1" s="17">
        <f>mem_dec!D1*mem_dec!D81</f>
        <v>7138</v>
      </c>
      <c r="E1" s="28"/>
      <c r="F1" s="17">
        <f>SUM(A1:D1)</f>
        <v>18749</v>
      </c>
      <c r="H1" s="23">
        <v>1</v>
      </c>
      <c r="I1" s="23">
        <f>F1+F6+F11+F16</f>
        <v>138207</v>
      </c>
    </row>
    <row r="2" spans="1:9">
      <c r="A2" s="17">
        <f>mem_dec!A2*mem_dec!A82</f>
        <v>17050</v>
      </c>
      <c r="B2" s="17">
        <f>mem_dec!B2*mem_dec!B82</f>
        <v>211</v>
      </c>
      <c r="C2" s="17">
        <f>mem_dec!C2*mem_dec!C82</f>
        <v>26180</v>
      </c>
      <c r="D2" s="17">
        <f>mem_dec!D2*mem_dec!D82</f>
        <v>7144</v>
      </c>
      <c r="E2" s="28"/>
      <c r="F2" s="17">
        <f t="shared" ref="F2:F65" si="0">SUM(A2:D2)</f>
        <v>50585</v>
      </c>
      <c r="H2" s="23">
        <v>2</v>
      </c>
      <c r="I2" s="23">
        <f>F2+F7+F12+F17</f>
        <v>254087</v>
      </c>
    </row>
    <row r="3" spans="1:9">
      <c r="A3" s="17">
        <f>mem_dec!A3*mem_dec!A83</f>
        <v>25542</v>
      </c>
      <c r="B3" s="17">
        <f>mem_dec!B3*mem_dec!B83</f>
        <v>12685</v>
      </c>
      <c r="C3" s="17">
        <f>mem_dec!C3*mem_dec!C83</f>
        <v>1080</v>
      </c>
      <c r="D3" s="17">
        <f>mem_dec!D3*mem_dec!D83</f>
        <v>11508</v>
      </c>
      <c r="E3" s="28"/>
      <c r="F3" s="17">
        <f t="shared" si="0"/>
        <v>50815</v>
      </c>
      <c r="H3" s="23">
        <v>3</v>
      </c>
      <c r="I3" s="23">
        <f>F3+F8+F13+F18</f>
        <v>236737</v>
      </c>
    </row>
    <row r="4" spans="1:9">
      <c r="A4" s="17">
        <f>mem_dec!A4*mem_dec!A84</f>
        <v>183</v>
      </c>
      <c r="B4" s="17">
        <f>mem_dec!B4*mem_dec!B84</f>
        <v>240</v>
      </c>
      <c r="C4" s="17">
        <f>mem_dec!C4*mem_dec!C84</f>
        <v>11880</v>
      </c>
      <c r="D4" s="17">
        <f>mem_dec!D4*mem_dec!D84</f>
        <v>4320</v>
      </c>
      <c r="E4" s="28"/>
      <c r="F4" s="17">
        <f t="shared" si="0"/>
        <v>16623</v>
      </c>
      <c r="H4" s="23">
        <v>4</v>
      </c>
      <c r="I4" s="23">
        <f>F4+F9+F14+F19</f>
        <v>255022</v>
      </c>
    </row>
    <row r="5" spans="1:9">
      <c r="A5" s="17">
        <f>mem_dec!A5*mem_dec!A85</f>
        <v>5727</v>
      </c>
      <c r="B5" s="17">
        <f>mem_dec!B5*mem_dec!B85</f>
        <v>16422</v>
      </c>
      <c r="C5" s="17">
        <f>mem_dec!C5*mem_dec!C85</f>
        <v>3600</v>
      </c>
      <c r="D5" s="17">
        <f>mem_dec!D5*mem_dec!D85</f>
        <v>18576</v>
      </c>
      <c r="E5" s="28"/>
      <c r="F5" s="17">
        <f t="shared" si="0"/>
        <v>44325</v>
      </c>
      <c r="H5" s="23">
        <v>5</v>
      </c>
      <c r="I5" s="23">
        <f>F5+F10+F15+F20</f>
        <v>203802</v>
      </c>
    </row>
    <row r="6" spans="1:9">
      <c r="A6" s="18">
        <f>mem_dec!A6*mem_dec!A89</f>
        <v>504</v>
      </c>
      <c r="B6" s="18">
        <f>mem_dec!B6*mem_dec!B89</f>
        <v>9120</v>
      </c>
      <c r="C6" s="18">
        <f>mem_dec!C6*mem_dec!C89</f>
        <v>19188</v>
      </c>
      <c r="D6" s="18">
        <f>mem_dec!D6*mem_dec!D89</f>
        <v>5655</v>
      </c>
      <c r="E6" s="28"/>
      <c r="F6" s="18">
        <f t="shared" si="0"/>
        <v>34467</v>
      </c>
      <c r="H6" s="23" t="s">
        <v>6</v>
      </c>
      <c r="I6" s="23">
        <f>SUM(I1:I5)</f>
        <v>1087855</v>
      </c>
    </row>
    <row r="7" spans="1:9">
      <c r="A7" s="18">
        <f>mem_dec!A7*mem_dec!A90</f>
        <v>25560</v>
      </c>
      <c r="B7" s="18">
        <f>mem_dec!B7*mem_dec!B90</f>
        <v>5886</v>
      </c>
      <c r="C7" s="18">
        <f>mem_dec!C7*mem_dec!C90</f>
        <v>18327</v>
      </c>
      <c r="D7" s="18">
        <f>mem_dec!D7*mem_dec!D90</f>
        <v>53823</v>
      </c>
      <c r="E7" s="28"/>
      <c r="F7" s="18">
        <f t="shared" si="0"/>
        <v>103596</v>
      </c>
    </row>
    <row r="8" spans="1:9">
      <c r="A8" s="18">
        <f>mem_dec!A8*mem_dec!A91</f>
        <v>54102</v>
      </c>
      <c r="B8" s="18">
        <f>mem_dec!B8*mem_dec!B91</f>
        <v>1092</v>
      </c>
      <c r="C8" s="18">
        <f>mem_dec!C8*mem_dec!C91</f>
        <v>13400</v>
      </c>
      <c r="D8" s="18">
        <f>mem_dec!D8*mem_dec!D91</f>
        <v>32813</v>
      </c>
      <c r="E8" s="28"/>
      <c r="F8" s="18">
        <f t="shared" si="0"/>
        <v>101407</v>
      </c>
    </row>
    <row r="9" spans="1:9">
      <c r="A9" s="18">
        <f>mem_dec!A9*mem_dec!A92</f>
        <v>45162</v>
      </c>
      <c r="B9" s="18">
        <f>mem_dec!B9*mem_dec!B92</f>
        <v>2871</v>
      </c>
      <c r="C9" s="18">
        <f>mem_dec!C9*mem_dec!C92</f>
        <v>43802</v>
      </c>
      <c r="D9" s="18">
        <f>mem_dec!D9*mem_dec!D92</f>
        <v>2592</v>
      </c>
      <c r="E9" s="28"/>
      <c r="F9" s="18">
        <f t="shared" si="0"/>
        <v>94427</v>
      </c>
    </row>
    <row r="10" spans="1:9">
      <c r="A10" s="18">
        <f>mem_dec!A10*mem_dec!A93</f>
        <v>13910</v>
      </c>
      <c r="B10" s="18">
        <f>mem_dec!B10*mem_dec!B93</f>
        <v>3825</v>
      </c>
      <c r="C10" s="18">
        <f>mem_dec!C10*mem_dec!C93</f>
        <v>3182</v>
      </c>
      <c r="D10" s="18">
        <f>mem_dec!D10*mem_dec!D93</f>
        <v>13110</v>
      </c>
      <c r="E10" s="28"/>
      <c r="F10" s="18">
        <f t="shared" si="0"/>
        <v>34027</v>
      </c>
    </row>
    <row r="11" spans="1:9">
      <c r="A11" s="17">
        <f>mem_dec!A11*mem_dec!A97</f>
        <v>2666</v>
      </c>
      <c r="B11" s="17">
        <f>mem_dec!B11*mem_dec!B97</f>
        <v>5688</v>
      </c>
      <c r="C11" s="17">
        <f>mem_dec!C11*mem_dec!C97</f>
        <v>486</v>
      </c>
      <c r="D11" s="17">
        <f>mem_dec!D11*mem_dec!D97</f>
        <v>10579</v>
      </c>
      <c r="E11" s="28"/>
      <c r="F11" s="17">
        <f t="shared" si="0"/>
        <v>19419</v>
      </c>
    </row>
    <row r="12" spans="1:9">
      <c r="A12" s="17">
        <f>mem_dec!A12*mem_dec!A98</f>
        <v>16992</v>
      </c>
      <c r="B12" s="17">
        <f>mem_dec!B12*mem_dec!B98</f>
        <v>7437</v>
      </c>
      <c r="C12" s="17">
        <f>mem_dec!C12*mem_dec!C98</f>
        <v>1218</v>
      </c>
      <c r="D12" s="17">
        <f>mem_dec!D12*mem_dec!D98</f>
        <v>19096</v>
      </c>
      <c r="E12" s="28"/>
      <c r="F12" s="17">
        <f t="shared" si="0"/>
        <v>44743</v>
      </c>
    </row>
    <row r="13" spans="1:9">
      <c r="A13" s="17">
        <f>mem_dec!A13*mem_dec!A99</f>
        <v>12110</v>
      </c>
      <c r="B13" s="17">
        <f>mem_dec!B13*mem_dec!B99</f>
        <v>3036</v>
      </c>
      <c r="C13" s="17">
        <f>mem_dec!C13*mem_dec!C99</f>
        <v>910</v>
      </c>
      <c r="D13" s="17">
        <f>mem_dec!D13*mem_dec!D99</f>
        <v>4914</v>
      </c>
      <c r="E13" s="28"/>
      <c r="F13" s="17">
        <f t="shared" si="0"/>
        <v>20970</v>
      </c>
    </row>
    <row r="14" spans="1:9">
      <c r="A14" s="17">
        <f>mem_dec!A14*mem_dec!A100</f>
        <v>27084</v>
      </c>
      <c r="B14" s="17">
        <f>mem_dec!B14*mem_dec!B100</f>
        <v>3648</v>
      </c>
      <c r="C14" s="17">
        <f>mem_dec!C14*mem_dec!C100</f>
        <v>17020</v>
      </c>
      <c r="D14" s="17">
        <f>mem_dec!D14*mem_dec!D100</f>
        <v>7918</v>
      </c>
      <c r="E14" s="28"/>
      <c r="F14" s="17">
        <f t="shared" si="0"/>
        <v>55670</v>
      </c>
    </row>
    <row r="15" spans="1:9">
      <c r="A15" s="17">
        <f>mem_dec!A15*mem_dec!A101</f>
        <v>11115</v>
      </c>
      <c r="B15" s="17">
        <f>mem_dec!B15*mem_dec!B101</f>
        <v>16892</v>
      </c>
      <c r="C15" s="17">
        <f>mem_dec!C15*mem_dec!C101</f>
        <v>5109</v>
      </c>
      <c r="D15" s="17">
        <f>mem_dec!D15*mem_dec!D101</f>
        <v>52611</v>
      </c>
      <c r="E15" s="28"/>
      <c r="F15" s="17">
        <f t="shared" si="0"/>
        <v>85727</v>
      </c>
    </row>
    <row r="16" spans="1:9">
      <c r="A16" s="18">
        <f>mem_dec!A16*mem_dec!A105</f>
        <v>573</v>
      </c>
      <c r="B16" s="18">
        <f>mem_dec!B16*mem_dec!B105</f>
        <v>51714</v>
      </c>
      <c r="C16" s="18">
        <f>mem_dec!C16*mem_dec!C105</f>
        <v>517</v>
      </c>
      <c r="D16" s="18">
        <f>mem_dec!D16*mem_dec!D105</f>
        <v>12768</v>
      </c>
      <c r="E16" s="28"/>
      <c r="F16" s="18">
        <f>SUM(A16:D16)</f>
        <v>65572</v>
      </c>
    </row>
    <row r="17" spans="1:10">
      <c r="A17" s="18">
        <f>mem_dec!A17*mem_dec!A106</f>
        <v>2709</v>
      </c>
      <c r="B17" s="18">
        <f>mem_dec!B17*mem_dec!B106</f>
        <v>7654</v>
      </c>
      <c r="C17" s="18">
        <f>mem_dec!C17*mem_dec!C106</f>
        <v>22657</v>
      </c>
      <c r="D17" s="18">
        <f>mem_dec!D17*mem_dec!D106</f>
        <v>22143</v>
      </c>
      <c r="E17" s="28"/>
      <c r="F17" s="18">
        <f t="shared" si="0"/>
        <v>55163</v>
      </c>
    </row>
    <row r="18" spans="1:10">
      <c r="A18" s="18">
        <f>mem_dec!A18*mem_dec!A107</f>
        <v>8624</v>
      </c>
      <c r="B18" s="18">
        <f>mem_dec!B18*mem_dec!B107</f>
        <v>41200</v>
      </c>
      <c r="C18" s="18">
        <f>mem_dec!C18*mem_dec!C107</f>
        <v>10670</v>
      </c>
      <c r="D18" s="18">
        <f>mem_dec!D18*mem_dec!D107</f>
        <v>3051</v>
      </c>
      <c r="E18" s="28"/>
      <c r="F18" s="18">
        <f t="shared" si="0"/>
        <v>63545</v>
      </c>
    </row>
    <row r="19" spans="1:10">
      <c r="A19" s="18">
        <f>mem_dec!A19*mem_dec!A108</f>
        <v>32736</v>
      </c>
      <c r="B19" s="18">
        <f>mem_dec!B19*mem_dec!B108</f>
        <v>1638</v>
      </c>
      <c r="C19" s="18">
        <f>mem_dec!C19*mem_dec!C108</f>
        <v>34200</v>
      </c>
      <c r="D19" s="18">
        <f>mem_dec!D19*mem_dec!D108</f>
        <v>19728</v>
      </c>
      <c r="E19" s="28"/>
      <c r="F19" s="18">
        <f t="shared" si="0"/>
        <v>88302</v>
      </c>
    </row>
    <row r="20" spans="1:10">
      <c r="A20" s="18">
        <f>mem_dec!A20*mem_dec!A109</f>
        <v>2067</v>
      </c>
      <c r="B20" s="18">
        <f>mem_dec!B20*mem_dec!B109</f>
        <v>11856</v>
      </c>
      <c r="C20" s="18">
        <f>mem_dec!C20*mem_dec!C109</f>
        <v>24288</v>
      </c>
      <c r="D20" s="18">
        <f>mem_dec!D20*mem_dec!D109</f>
        <v>1512</v>
      </c>
      <c r="E20" s="28"/>
      <c r="F20" s="18">
        <f t="shared" si="0"/>
        <v>39723</v>
      </c>
    </row>
    <row r="21" spans="1:10">
      <c r="A21" s="17">
        <f>mem_dec!A21*mem_dec!A81</f>
        <v>0</v>
      </c>
      <c r="B21" s="17">
        <f>mem_dec!B21*mem_dec!B81</f>
        <v>7220</v>
      </c>
      <c r="C21" s="17">
        <f>mem_dec!C21*mem_dec!C81</f>
        <v>6789</v>
      </c>
      <c r="D21" s="17">
        <f>mem_dec!D21*mem_dec!D81</f>
        <v>4648</v>
      </c>
      <c r="E21" s="29"/>
      <c r="F21" s="17">
        <f t="shared" si="0"/>
        <v>18657</v>
      </c>
      <c r="G21" s="20"/>
      <c r="H21" s="23">
        <v>1</v>
      </c>
      <c r="I21" s="23">
        <f>F21+F26+F31+F36</f>
        <v>136487</v>
      </c>
    </row>
    <row r="22" spans="1:10">
      <c r="A22" s="17">
        <f>mem_dec!A22*mem_dec!A82</f>
        <v>24335</v>
      </c>
      <c r="B22" s="17">
        <f>mem_dec!B22*mem_dec!B82</f>
        <v>1</v>
      </c>
      <c r="C22" s="17">
        <f>mem_dec!C22*mem_dec!C82</f>
        <v>33264</v>
      </c>
      <c r="D22" s="17">
        <f>mem_dec!D22*mem_dec!D82</f>
        <v>3995</v>
      </c>
      <c r="E22" s="30"/>
      <c r="F22" s="17">
        <f t="shared" si="0"/>
        <v>61595</v>
      </c>
      <c r="H22" s="23">
        <v>2</v>
      </c>
      <c r="I22" s="23">
        <f>F22+F27+F32+F37</f>
        <v>292622</v>
      </c>
      <c r="J22">
        <f>I21+I22</f>
        <v>429109</v>
      </c>
    </row>
    <row r="23" spans="1:10">
      <c r="A23" s="17">
        <f>mem_dec!A23*mem_dec!A83</f>
        <v>19737</v>
      </c>
      <c r="B23" s="17">
        <f>mem_dec!B23*mem_dec!B83</f>
        <v>31820</v>
      </c>
      <c r="C23" s="17">
        <f>mem_dec!C23*mem_dec!C83</f>
        <v>410</v>
      </c>
      <c r="D23" s="17">
        <f>mem_dec!D23*mem_dec!D83</f>
        <v>13020</v>
      </c>
      <c r="E23" s="30"/>
      <c r="F23" s="17">
        <f t="shared" si="0"/>
        <v>64987</v>
      </c>
      <c r="H23" s="23">
        <v>3</v>
      </c>
      <c r="I23" s="23">
        <f>F23+F28+F33+F38</f>
        <v>209932</v>
      </c>
      <c r="J23">
        <f>J22+I23</f>
        <v>639041</v>
      </c>
    </row>
    <row r="24" spans="1:10">
      <c r="A24" s="17">
        <f>mem_dec!A24*mem_dec!A84</f>
        <v>13359</v>
      </c>
      <c r="B24" s="17">
        <f>mem_dec!B24*mem_dec!B84</f>
        <v>225</v>
      </c>
      <c r="C24" s="17">
        <f>mem_dec!C24*mem_dec!C84</f>
        <v>720</v>
      </c>
      <c r="D24" s="17">
        <f>mem_dec!D24*mem_dec!D84</f>
        <v>5940</v>
      </c>
      <c r="E24" s="30"/>
      <c r="F24" s="17">
        <f t="shared" si="0"/>
        <v>20244</v>
      </c>
      <c r="H24" s="23">
        <v>4</v>
      </c>
      <c r="I24" s="23">
        <f>F24+F29+F34+F39</f>
        <v>244968</v>
      </c>
      <c r="J24">
        <f t="shared" ref="J24:J25" si="1">J23+I24</f>
        <v>884009</v>
      </c>
    </row>
    <row r="25" spans="1:10">
      <c r="A25" s="17">
        <f>mem_dec!A25*mem_dec!A85</f>
        <v>55029</v>
      </c>
      <c r="B25" s="17">
        <f>mem_dec!B25*mem_dec!B85</f>
        <v>14973</v>
      </c>
      <c r="C25" s="17">
        <f>mem_dec!C25*mem_dec!C85</f>
        <v>4470</v>
      </c>
      <c r="D25" s="17">
        <f>mem_dec!D25*mem_dec!D85</f>
        <v>50544</v>
      </c>
      <c r="E25" s="30"/>
      <c r="F25" s="17">
        <f t="shared" si="0"/>
        <v>125016</v>
      </c>
      <c r="H25" s="23">
        <v>5</v>
      </c>
      <c r="I25" s="23">
        <f>F25+F30+F35+F40</f>
        <v>429887</v>
      </c>
      <c r="J25">
        <f t="shared" si="1"/>
        <v>1313896</v>
      </c>
    </row>
    <row r="26" spans="1:10">
      <c r="A26" s="18">
        <f>mem_dec!A26*mem_dec!A89</f>
        <v>20496</v>
      </c>
      <c r="B26" s="18">
        <f>mem_dec!B26*mem_dec!B89</f>
        <v>5472</v>
      </c>
      <c r="C26" s="18">
        <f>mem_dec!C26*mem_dec!C89</f>
        <v>7098</v>
      </c>
      <c r="D26" s="18">
        <f>mem_dec!D26*mem_dec!D89</f>
        <v>2223</v>
      </c>
      <c r="E26" s="30"/>
      <c r="F26" s="18">
        <f t="shared" si="0"/>
        <v>35289</v>
      </c>
      <c r="H26" s="23" t="s">
        <v>6</v>
      </c>
      <c r="I26" s="23">
        <f>SUM(I21:I25)</f>
        <v>1313896</v>
      </c>
    </row>
    <row r="27" spans="1:10">
      <c r="A27" s="18">
        <f>mem_dec!A27*mem_dec!A90</f>
        <v>52611</v>
      </c>
      <c r="B27" s="18">
        <f>mem_dec!B27*mem_dec!B90</f>
        <v>218</v>
      </c>
      <c r="C27" s="18">
        <f>mem_dec!C27*mem_dec!C90</f>
        <v>20711</v>
      </c>
      <c r="D27" s="18">
        <f>mem_dec!D27*mem_dec!D90</f>
        <v>53823</v>
      </c>
      <c r="E27" s="30"/>
      <c r="F27" s="18">
        <f t="shared" si="0"/>
        <v>127363</v>
      </c>
    </row>
    <row r="28" spans="1:10">
      <c r="A28" s="18">
        <f>mem_dec!A28*mem_dec!A91</f>
        <v>6177</v>
      </c>
      <c r="B28" s="18">
        <f>mem_dec!B28*mem_dec!B91</f>
        <v>8484</v>
      </c>
      <c r="C28" s="18">
        <f>mem_dec!C28*mem_dec!C91</f>
        <v>6600</v>
      </c>
      <c r="D28" s="18">
        <f>mem_dec!D28*mem_dec!D91</f>
        <v>21736</v>
      </c>
      <c r="E28" s="30"/>
      <c r="F28" s="18">
        <f t="shared" si="0"/>
        <v>42997</v>
      </c>
    </row>
    <row r="29" spans="1:10">
      <c r="A29" s="18">
        <f>mem_dec!A29*mem_dec!A92</f>
        <v>35126</v>
      </c>
      <c r="B29" s="18">
        <f>mem_dec!B29*mem_dec!B92</f>
        <v>4785</v>
      </c>
      <c r="C29" s="18">
        <f>mem_dec!C29*mem_dec!C92</f>
        <v>45254</v>
      </c>
      <c r="D29" s="18">
        <f>mem_dec!D29*mem_dec!D92</f>
        <v>7992</v>
      </c>
      <c r="E29" s="30"/>
      <c r="F29" s="18">
        <f t="shared" si="0"/>
        <v>93157</v>
      </c>
    </row>
    <row r="30" spans="1:10">
      <c r="A30" s="18">
        <f>mem_dec!A30*mem_dec!A93</f>
        <v>37878</v>
      </c>
      <c r="B30" s="18">
        <f>mem_dec!B30*mem_dec!B93</f>
        <v>63495</v>
      </c>
      <c r="C30" s="18">
        <f>mem_dec!C30*mem_dec!C93</f>
        <v>6278</v>
      </c>
      <c r="D30" s="18">
        <f>mem_dec!D30*mem_dec!D93</f>
        <v>53820</v>
      </c>
      <c r="E30" s="30"/>
      <c r="F30" s="18">
        <f t="shared" si="0"/>
        <v>161471</v>
      </c>
    </row>
    <row r="31" spans="1:10">
      <c r="A31" s="17">
        <f>mem_dec!A31*mem_dec!A97</f>
        <v>8084</v>
      </c>
      <c r="B31" s="17">
        <f>mem_dec!B31*mem_dec!B97</f>
        <v>15624</v>
      </c>
      <c r="C31" s="17">
        <f>mem_dec!C31*mem_dec!C97</f>
        <v>1593</v>
      </c>
      <c r="D31" s="17">
        <f>mem_dec!D31*mem_dec!D97</f>
        <v>31439</v>
      </c>
      <c r="E31" s="30"/>
      <c r="F31" s="17">
        <f t="shared" si="0"/>
        <v>56740</v>
      </c>
    </row>
    <row r="32" spans="1:10">
      <c r="A32" s="17">
        <f>mem_dec!A32*mem_dec!A98</f>
        <v>21024</v>
      </c>
      <c r="B32" s="17">
        <f>mem_dec!B32*mem_dec!B98</f>
        <v>4181</v>
      </c>
      <c r="C32" s="17">
        <f>mem_dec!C32*mem_dec!C98</f>
        <v>3538</v>
      </c>
      <c r="D32" s="17">
        <f>mem_dec!D32*mem_dec!D98</f>
        <v>31248</v>
      </c>
      <c r="E32" s="30"/>
      <c r="F32" s="17">
        <f t="shared" si="0"/>
        <v>59991</v>
      </c>
    </row>
    <row r="33" spans="1:9">
      <c r="A33" s="17">
        <f>mem_dec!A33*mem_dec!A99</f>
        <v>14210</v>
      </c>
      <c r="B33" s="17">
        <f>mem_dec!B33*mem_dec!B99</f>
        <v>10672</v>
      </c>
      <c r="C33" s="17">
        <f>mem_dec!C33*mem_dec!C99</f>
        <v>2600</v>
      </c>
      <c r="D33" s="17">
        <f>mem_dec!D33*mem_dec!D99</f>
        <v>4509</v>
      </c>
      <c r="E33" s="30"/>
      <c r="F33" s="17">
        <f t="shared" si="0"/>
        <v>31991</v>
      </c>
    </row>
    <row r="34" spans="1:9">
      <c r="A34" s="17">
        <f>mem_dec!A34*mem_dec!A100</f>
        <v>25900</v>
      </c>
      <c r="B34" s="17">
        <f>mem_dec!B34*mem_dec!B100</f>
        <v>34352</v>
      </c>
      <c r="C34" s="17">
        <f>mem_dec!C34*mem_dec!C100</f>
        <v>31820</v>
      </c>
      <c r="D34" s="17">
        <f>mem_dec!D34*mem_dec!D100</f>
        <v>8362</v>
      </c>
      <c r="E34" s="30"/>
      <c r="F34" s="17">
        <f t="shared" si="0"/>
        <v>100434</v>
      </c>
    </row>
    <row r="35" spans="1:9">
      <c r="A35" s="17">
        <f>mem_dec!A35*mem_dec!A101</f>
        <v>7410</v>
      </c>
      <c r="B35" s="17">
        <f>mem_dec!B35*mem_dec!B101</f>
        <v>33948</v>
      </c>
      <c r="C35" s="17">
        <f>mem_dec!C35*mem_dec!C101</f>
        <v>5733</v>
      </c>
      <c r="D35" s="17">
        <f>mem_dec!D35*mem_dec!D101</f>
        <v>46860</v>
      </c>
      <c r="E35" s="30"/>
      <c r="F35" s="17">
        <f t="shared" si="0"/>
        <v>93951</v>
      </c>
    </row>
    <row r="36" spans="1:9">
      <c r="A36" s="18">
        <f>mem_dec!A36*mem_dec!A105</f>
        <v>8977</v>
      </c>
      <c r="B36" s="18">
        <f>mem_dec!B36*mem_dec!B105</f>
        <v>13806</v>
      </c>
      <c r="C36" s="18">
        <f>mem_dec!C36*mem_dec!C105</f>
        <v>946</v>
      </c>
      <c r="D36" s="18">
        <f>mem_dec!D36*mem_dec!D105</f>
        <v>2072</v>
      </c>
      <c r="E36" s="30"/>
      <c r="F36" s="18">
        <f t="shared" si="0"/>
        <v>25801</v>
      </c>
    </row>
    <row r="37" spans="1:9">
      <c r="A37" s="18">
        <f>mem_dec!A37*mem_dec!A106</f>
        <v>1290</v>
      </c>
      <c r="B37" s="18">
        <f>mem_dec!B37*mem_dec!B106</f>
        <v>12193</v>
      </c>
      <c r="C37" s="18">
        <f>mem_dec!C37*mem_dec!C106</f>
        <v>13855</v>
      </c>
      <c r="D37" s="18">
        <f>mem_dec!D37*mem_dec!D106</f>
        <v>16335</v>
      </c>
      <c r="E37" s="30"/>
      <c r="F37" s="18">
        <f t="shared" si="0"/>
        <v>43673</v>
      </c>
    </row>
    <row r="38" spans="1:9">
      <c r="A38" s="18">
        <f>mem_dec!A38*mem_dec!A107</f>
        <v>1496</v>
      </c>
      <c r="B38" s="18">
        <f>mem_dec!B38*mem_dec!B107</f>
        <v>47000</v>
      </c>
      <c r="C38" s="18">
        <f>mem_dec!C38*mem_dec!C107</f>
        <v>12760</v>
      </c>
      <c r="D38" s="18">
        <f>mem_dec!D38*mem_dec!D107</f>
        <v>8701</v>
      </c>
      <c r="E38" s="30"/>
      <c r="F38" s="18">
        <f t="shared" si="0"/>
        <v>69957</v>
      </c>
    </row>
    <row r="39" spans="1:9">
      <c r="A39" s="18">
        <f>mem_dec!A39*mem_dec!A108</f>
        <v>4620</v>
      </c>
      <c r="B39" s="18">
        <f>mem_dec!B39*mem_dec!B108</f>
        <v>3304</v>
      </c>
      <c r="C39" s="18">
        <f>mem_dec!C39*mem_dec!C108</f>
        <v>15400</v>
      </c>
      <c r="D39" s="18">
        <f>mem_dec!D39*mem_dec!D108</f>
        <v>7809</v>
      </c>
      <c r="E39" s="30"/>
      <c r="F39" s="18">
        <f t="shared" si="0"/>
        <v>31133</v>
      </c>
    </row>
    <row r="40" spans="1:9">
      <c r="A40" s="18">
        <f>mem_dec!A40*mem_dec!A109</f>
        <v>624</v>
      </c>
      <c r="B40" s="18">
        <f>mem_dec!B40*mem_dec!B109</f>
        <v>12012</v>
      </c>
      <c r="C40" s="18">
        <f>mem_dec!C40*mem_dec!C109</f>
        <v>26565</v>
      </c>
      <c r="D40" s="18">
        <f>mem_dec!D40*mem_dec!D109</f>
        <v>10248</v>
      </c>
      <c r="E40" s="31"/>
      <c r="F40" s="18">
        <f t="shared" si="0"/>
        <v>49449</v>
      </c>
    </row>
    <row r="41" spans="1:9">
      <c r="A41" s="17">
        <f>mem_dec!A41*mem_dec!A81</f>
        <v>0</v>
      </c>
      <c r="B41" s="17">
        <f>mem_dec!B41*mem_dec!B81</f>
        <v>380</v>
      </c>
      <c r="C41" s="17">
        <f>mem_dec!C41*mem_dec!C81</f>
        <v>7285</v>
      </c>
      <c r="D41" s="17">
        <f>mem_dec!D41*mem_dec!D81</f>
        <v>8881</v>
      </c>
      <c r="E41" s="29"/>
      <c r="F41" s="17">
        <f>SUM(A41:D41)</f>
        <v>16546</v>
      </c>
      <c r="G41" s="20"/>
      <c r="H41" s="23">
        <v>1</v>
      </c>
      <c r="I41" s="23">
        <f>F41+F46+F51+F56</f>
        <v>121634</v>
      </c>
    </row>
    <row r="42" spans="1:9">
      <c r="A42" s="17">
        <f>mem_dec!A42*mem_dec!A82</f>
        <v>4650</v>
      </c>
      <c r="B42" s="17">
        <f>mem_dec!B42*mem_dec!B82</f>
        <v>49</v>
      </c>
      <c r="C42" s="17">
        <f>mem_dec!C42*mem_dec!C82</f>
        <v>26026</v>
      </c>
      <c r="D42" s="17">
        <f>mem_dec!D42*mem_dec!D82</f>
        <v>9118</v>
      </c>
      <c r="E42" s="30"/>
      <c r="F42" s="17">
        <f t="shared" ref="F42:F60" si="2">SUM(A42:D42)</f>
        <v>39843</v>
      </c>
      <c r="H42" s="23">
        <v>2</v>
      </c>
      <c r="I42" s="23">
        <f>F42+F47+F52+F57</f>
        <v>257369</v>
      </c>
    </row>
    <row r="43" spans="1:9">
      <c r="A43" s="17">
        <f>mem_dec!A43*mem_dec!A83</f>
        <v>12255</v>
      </c>
      <c r="B43" s="17">
        <f>mem_dec!B43*mem_dec!B83</f>
        <v>35045</v>
      </c>
      <c r="C43" s="17">
        <f>mem_dec!C43*mem_dec!C83</f>
        <v>355</v>
      </c>
      <c r="D43" s="17">
        <f>mem_dec!D43*mem_dec!D83</f>
        <v>18900</v>
      </c>
      <c r="E43" s="30"/>
      <c r="F43" s="17">
        <f t="shared" si="2"/>
        <v>66555</v>
      </c>
      <c r="H43" s="23">
        <v>3</v>
      </c>
      <c r="I43" s="23">
        <f>F43+F48+F53+F58</f>
        <v>185790</v>
      </c>
    </row>
    <row r="44" spans="1:9">
      <c r="A44" s="17">
        <f>mem_dec!A44*mem_dec!A84</f>
        <v>46299</v>
      </c>
      <c r="B44" s="17">
        <f>mem_dec!B44*mem_dec!B84</f>
        <v>1205</v>
      </c>
      <c r="C44" s="17">
        <f>mem_dec!C44*mem_dec!C84</f>
        <v>10656</v>
      </c>
      <c r="D44" s="17">
        <f>mem_dec!D44*mem_dec!D84</f>
        <v>1566</v>
      </c>
      <c r="E44" s="30"/>
      <c r="F44" s="17">
        <f t="shared" si="2"/>
        <v>59726</v>
      </c>
      <c r="H44" s="23">
        <v>4</v>
      </c>
      <c r="I44" s="23">
        <f>F44+F49+F54+F59</f>
        <v>281097</v>
      </c>
    </row>
    <row r="45" spans="1:9">
      <c r="A45" s="17">
        <f>mem_dec!A45*mem_dec!A85</f>
        <v>60258</v>
      </c>
      <c r="B45" s="17">
        <f>mem_dec!B45*mem_dec!B85</f>
        <v>38801</v>
      </c>
      <c r="C45" s="17">
        <f>mem_dec!C45*mem_dec!C85</f>
        <v>4350</v>
      </c>
      <c r="D45" s="17">
        <f>mem_dec!D45*mem_dec!D85</f>
        <v>54432</v>
      </c>
      <c r="E45" s="30"/>
      <c r="F45" s="17">
        <f t="shared" si="2"/>
        <v>157841</v>
      </c>
      <c r="H45" s="23">
        <v>5</v>
      </c>
      <c r="I45" s="23">
        <f>F45+F50+F55+F60</f>
        <v>446686</v>
      </c>
    </row>
    <row r="46" spans="1:9">
      <c r="A46" s="18">
        <f>mem_dec!A46*mem_dec!A89</f>
        <v>3360</v>
      </c>
      <c r="B46" s="18">
        <f>mem_dec!B46*mem_dec!B89</f>
        <v>20736</v>
      </c>
      <c r="C46" s="18">
        <f>mem_dec!C46*mem_dec!C89</f>
        <v>390</v>
      </c>
      <c r="D46" s="18">
        <f>mem_dec!D46*mem_dec!D89</f>
        <v>4524</v>
      </c>
      <c r="E46" s="30"/>
      <c r="F46" s="17">
        <f t="shared" si="2"/>
        <v>29010</v>
      </c>
      <c r="H46" s="23" t="s">
        <v>6</v>
      </c>
      <c r="I46" s="23">
        <f>SUM(I41:I45)</f>
        <v>1292576</v>
      </c>
    </row>
    <row r="47" spans="1:9">
      <c r="A47" s="18">
        <f>mem_dec!A47*mem_dec!A90</f>
        <v>50481</v>
      </c>
      <c r="B47" s="18">
        <f>mem_dec!B47*mem_dec!B90</f>
        <v>16023</v>
      </c>
      <c r="C47" s="18">
        <f>mem_dec!C47*mem_dec!C90</f>
        <v>5066</v>
      </c>
      <c r="D47" s="18">
        <f>mem_dec!D47*mem_dec!D90</f>
        <v>30954</v>
      </c>
      <c r="E47" s="30"/>
      <c r="F47" s="17">
        <f t="shared" si="2"/>
        <v>102524</v>
      </c>
    </row>
    <row r="48" spans="1:9">
      <c r="A48" s="18">
        <f>mem_dec!A48*mem_dec!A91</f>
        <v>28542</v>
      </c>
      <c r="B48" s="18">
        <f>mem_dec!B48*mem_dec!B91</f>
        <v>1050</v>
      </c>
      <c r="C48" s="18">
        <f>mem_dec!C48*mem_dec!C91</f>
        <v>22000</v>
      </c>
      <c r="D48" s="18">
        <f>mem_dec!D48*mem_dec!D91</f>
        <v>2299</v>
      </c>
      <c r="E48" s="30"/>
      <c r="F48" s="17">
        <f t="shared" si="2"/>
        <v>53891</v>
      </c>
    </row>
    <row r="49" spans="1:9">
      <c r="A49" s="18">
        <f>mem_dec!A49*mem_dec!A92</f>
        <v>30494</v>
      </c>
      <c r="B49" s="18">
        <f>mem_dec!B49*mem_dec!B92</f>
        <v>1566</v>
      </c>
      <c r="C49" s="18">
        <f>mem_dec!C49*mem_dec!C92</f>
        <v>34122</v>
      </c>
      <c r="D49" s="18">
        <f>mem_dec!D49*mem_dec!D92</f>
        <v>8370</v>
      </c>
      <c r="E49" s="30"/>
      <c r="F49" s="17">
        <f t="shared" si="2"/>
        <v>74552</v>
      </c>
    </row>
    <row r="50" spans="1:9">
      <c r="A50" s="18">
        <f>mem_dec!A50*mem_dec!A93</f>
        <v>24182</v>
      </c>
      <c r="B50" s="18">
        <f>mem_dec!B50*mem_dec!B93</f>
        <v>36975</v>
      </c>
      <c r="C50" s="18">
        <f>mem_dec!C50*mem_dec!C93</f>
        <v>1935</v>
      </c>
      <c r="D50" s="18">
        <f>mem_dec!D50*mem_dec!D93</f>
        <v>49680</v>
      </c>
      <c r="E50" s="30"/>
      <c r="F50" s="17">
        <f t="shared" si="2"/>
        <v>112772</v>
      </c>
    </row>
    <row r="51" spans="1:9">
      <c r="A51" s="17">
        <f>mem_dec!A51*mem_dec!A97</f>
        <v>8170</v>
      </c>
      <c r="B51" s="17">
        <f>mem_dec!B51*mem_dec!B97</f>
        <v>2736</v>
      </c>
      <c r="C51" s="17">
        <f>mem_dec!C51*mem_dec!C97</f>
        <v>5157</v>
      </c>
      <c r="D51" s="17">
        <f>mem_dec!D51*mem_dec!D97</f>
        <v>30694</v>
      </c>
      <c r="E51" s="30"/>
      <c r="F51" s="17">
        <f t="shared" si="2"/>
        <v>46757</v>
      </c>
    </row>
    <row r="52" spans="1:9">
      <c r="A52" s="17">
        <f>mem_dec!A52*mem_dec!A98</f>
        <v>25776</v>
      </c>
      <c r="B52" s="17">
        <f>mem_dec!B52*mem_dec!B98</f>
        <v>9361</v>
      </c>
      <c r="C52" s="17">
        <f>mem_dec!C52*mem_dec!C98</f>
        <v>6496</v>
      </c>
      <c r="D52" s="17">
        <f>mem_dec!D52*mem_dec!D98</f>
        <v>31248</v>
      </c>
      <c r="E52" s="30"/>
      <c r="F52" s="17">
        <f t="shared" si="2"/>
        <v>72881</v>
      </c>
    </row>
    <row r="53" spans="1:9">
      <c r="A53" s="17">
        <f>mem_dec!A53*mem_dec!A99</f>
        <v>5600</v>
      </c>
      <c r="B53" s="17">
        <f>mem_dec!B53*mem_dec!B99</f>
        <v>2300</v>
      </c>
      <c r="C53" s="17">
        <f>mem_dec!C53*mem_dec!C99</f>
        <v>1326</v>
      </c>
      <c r="D53" s="17">
        <f>mem_dec!D53*mem_dec!D99</f>
        <v>3780</v>
      </c>
      <c r="E53" s="30"/>
      <c r="F53" s="17">
        <f t="shared" si="2"/>
        <v>13006</v>
      </c>
    </row>
    <row r="54" spans="1:9">
      <c r="A54" s="17">
        <f>mem_dec!A54*mem_dec!A100</f>
        <v>10212</v>
      </c>
      <c r="B54" s="17">
        <f>mem_dec!B54*mem_dec!B100</f>
        <v>26752</v>
      </c>
      <c r="C54" s="17">
        <f>mem_dec!C54*mem_dec!C100</f>
        <v>21016</v>
      </c>
      <c r="D54" s="17">
        <f>mem_dec!D54*mem_dec!D100</f>
        <v>9398</v>
      </c>
      <c r="E54" s="30"/>
      <c r="F54" s="17">
        <f t="shared" si="2"/>
        <v>67378</v>
      </c>
    </row>
    <row r="55" spans="1:9">
      <c r="A55" s="17">
        <f>mem_dec!A55*mem_dec!A101</f>
        <v>54093</v>
      </c>
      <c r="B55" s="17">
        <f>mem_dec!B55*mem_dec!B101</f>
        <v>5576</v>
      </c>
      <c r="C55" s="17">
        <f>mem_dec!C55*mem_dec!C101</f>
        <v>4368</v>
      </c>
      <c r="D55" s="17">
        <f>mem_dec!D55*mem_dec!D101</f>
        <v>3195</v>
      </c>
      <c r="E55" s="30"/>
      <c r="F55" s="17">
        <f t="shared" si="2"/>
        <v>67232</v>
      </c>
    </row>
    <row r="56" spans="1:9">
      <c r="A56" s="18">
        <f>mem_dec!A56*mem_dec!A105</f>
        <v>24448</v>
      </c>
      <c r="B56" s="18">
        <f>mem_dec!B56*mem_dec!B105</f>
        <v>936</v>
      </c>
      <c r="C56" s="18">
        <f>mem_dec!C56*mem_dec!C105</f>
        <v>2761</v>
      </c>
      <c r="D56" s="18">
        <f>mem_dec!D56*mem_dec!D105</f>
        <v>1176</v>
      </c>
      <c r="E56" s="30"/>
      <c r="F56" s="17">
        <f t="shared" si="2"/>
        <v>29321</v>
      </c>
    </row>
    <row r="57" spans="1:9">
      <c r="A57" s="18">
        <f>mem_dec!A57*mem_dec!A106</f>
        <v>6063</v>
      </c>
      <c r="B57" s="18">
        <f>mem_dec!B57*mem_dec!B106</f>
        <v>16465</v>
      </c>
      <c r="C57" s="18">
        <f>mem_dec!C57*mem_dec!C106</f>
        <v>7009</v>
      </c>
      <c r="D57" s="18">
        <f>mem_dec!D57*mem_dec!D106</f>
        <v>12584</v>
      </c>
      <c r="E57" s="30"/>
      <c r="F57" s="17">
        <f t="shared" si="2"/>
        <v>42121</v>
      </c>
    </row>
    <row r="58" spans="1:9">
      <c r="A58" s="18">
        <f>mem_dec!A58*mem_dec!A107</f>
        <v>14520</v>
      </c>
      <c r="B58" s="18">
        <f>mem_dec!B58*mem_dec!B107</f>
        <v>4800</v>
      </c>
      <c r="C58" s="18">
        <f>mem_dec!C58*mem_dec!C107</f>
        <v>19910</v>
      </c>
      <c r="D58" s="18">
        <f>mem_dec!D58*mem_dec!D107</f>
        <v>13108</v>
      </c>
      <c r="E58" s="30"/>
      <c r="F58" s="17">
        <f t="shared" si="2"/>
        <v>52338</v>
      </c>
    </row>
    <row r="59" spans="1:9">
      <c r="A59" s="18">
        <f>mem_dec!A59*mem_dec!A108</f>
        <v>11616</v>
      </c>
      <c r="B59" s="18">
        <f>mem_dec!B59*mem_dec!B108</f>
        <v>1764</v>
      </c>
      <c r="C59" s="18">
        <f>mem_dec!C59*mem_dec!C108</f>
        <v>31400</v>
      </c>
      <c r="D59" s="18">
        <f>mem_dec!D59*mem_dec!D108</f>
        <v>34661</v>
      </c>
      <c r="E59" s="30"/>
      <c r="F59" s="17">
        <f t="shared" si="2"/>
        <v>79441</v>
      </c>
    </row>
    <row r="60" spans="1:9">
      <c r="A60" s="18">
        <f>mem_dec!A60*mem_dec!A109</f>
        <v>2717</v>
      </c>
      <c r="B60" s="18">
        <f>mem_dec!B60*mem_dec!B109</f>
        <v>22620</v>
      </c>
      <c r="C60" s="18">
        <f>mem_dec!C60*mem_dec!C109</f>
        <v>44528</v>
      </c>
      <c r="D60" s="18">
        <f>mem_dec!D60*mem_dec!D109</f>
        <v>38976</v>
      </c>
      <c r="E60" s="31"/>
      <c r="F60" s="17">
        <f t="shared" si="2"/>
        <v>108841</v>
      </c>
    </row>
    <row r="61" spans="1:9">
      <c r="A61" s="17">
        <f>mem_dec!A61*mem_dec!A81</f>
        <v>0</v>
      </c>
      <c r="B61" s="17">
        <f>mem_dec!B61*mem_dec!B81</f>
        <v>9006</v>
      </c>
      <c r="C61" s="17">
        <f>mem_dec!C61*mem_dec!C81</f>
        <v>1147</v>
      </c>
      <c r="D61" s="17">
        <f>mem_dec!D61*mem_dec!D81</f>
        <v>332</v>
      </c>
      <c r="E61" s="29"/>
      <c r="F61" s="17">
        <f t="shared" si="0"/>
        <v>10485</v>
      </c>
      <c r="G61" s="20"/>
      <c r="H61" s="23">
        <v>1</v>
      </c>
      <c r="I61" s="23">
        <f>F61+F66+F71+F76</f>
        <v>136208</v>
      </c>
    </row>
    <row r="62" spans="1:9">
      <c r="A62" s="17">
        <f>mem_dec!A62*mem_dec!A82</f>
        <v>35960</v>
      </c>
      <c r="B62" s="17">
        <f>mem_dec!B62*mem_dec!B82</f>
        <v>145</v>
      </c>
      <c r="C62" s="17">
        <f>mem_dec!C62*mem_dec!C82</f>
        <v>36652</v>
      </c>
      <c r="D62" s="17">
        <f>mem_dec!D62*mem_dec!D82</f>
        <v>5076</v>
      </c>
      <c r="E62" s="30"/>
      <c r="F62" s="17">
        <f t="shared" si="0"/>
        <v>77833</v>
      </c>
      <c r="H62" s="23">
        <v>2</v>
      </c>
      <c r="I62" s="23">
        <f>F62+F67+F72+F77</f>
        <v>343756</v>
      </c>
    </row>
    <row r="63" spans="1:9">
      <c r="A63" s="17">
        <f>mem_dec!A63*mem_dec!A83</f>
        <v>30315</v>
      </c>
      <c r="B63" s="17">
        <f>mem_dec!B63*mem_dec!B83</f>
        <v>46010</v>
      </c>
      <c r="C63" s="17">
        <f>mem_dec!C63*mem_dec!C83</f>
        <v>830</v>
      </c>
      <c r="D63" s="17">
        <f>mem_dec!D63*mem_dec!D83</f>
        <v>12936</v>
      </c>
      <c r="E63" s="30"/>
      <c r="F63" s="17">
        <f t="shared" si="0"/>
        <v>90091</v>
      </c>
      <c r="H63" s="23">
        <v>3</v>
      </c>
      <c r="I63" s="23">
        <f>F63+F68+F73+F78</f>
        <v>180597</v>
      </c>
    </row>
    <row r="64" spans="1:9">
      <c r="A64" s="17">
        <f>mem_dec!A64*mem_dec!A84</f>
        <v>35319</v>
      </c>
      <c r="B64" s="17">
        <f>mem_dec!B64*mem_dec!B84</f>
        <v>1215</v>
      </c>
      <c r="C64" s="17">
        <f>mem_dec!C64*mem_dec!C84</f>
        <v>12888</v>
      </c>
      <c r="D64" s="17">
        <f>mem_dec!D64*mem_dec!D84</f>
        <v>2187</v>
      </c>
      <c r="E64" s="30"/>
      <c r="F64" s="17">
        <f t="shared" si="0"/>
        <v>51609</v>
      </c>
      <c r="H64" s="23">
        <v>4</v>
      </c>
      <c r="I64" s="23">
        <f>F64+F69+F74+F79</f>
        <v>255939</v>
      </c>
    </row>
    <row r="65" spans="1:9">
      <c r="A65" s="17">
        <f>mem_dec!A65*mem_dec!A85</f>
        <v>48057</v>
      </c>
      <c r="B65" s="17">
        <f>mem_dec!B65*mem_dec!B85</f>
        <v>24150</v>
      </c>
      <c r="C65" s="17">
        <f>mem_dec!C65*mem_dec!C85</f>
        <v>3840</v>
      </c>
      <c r="D65" s="17">
        <f>mem_dec!D65*mem_dec!D85</f>
        <v>10584</v>
      </c>
      <c r="E65" s="30"/>
      <c r="F65" s="17">
        <f t="shared" si="0"/>
        <v>86631</v>
      </c>
      <c r="H65" s="23">
        <v>5</v>
      </c>
      <c r="I65" s="23">
        <f>F65+F70+F75+F80</f>
        <v>397218</v>
      </c>
    </row>
    <row r="66" spans="1:9">
      <c r="A66" s="18">
        <f>mem_dec!A66*mem_dec!A89</f>
        <v>26040</v>
      </c>
      <c r="B66" s="18">
        <f>mem_dec!B66*mem_dec!B89</f>
        <v>6528</v>
      </c>
      <c r="C66" s="18">
        <f>mem_dec!C66*mem_dec!C89</f>
        <v>17550</v>
      </c>
      <c r="D66" s="18">
        <f>mem_dec!D66*mem_dec!D89</f>
        <v>7761</v>
      </c>
      <c r="E66" s="30"/>
      <c r="F66" s="18">
        <f t="shared" ref="F66:F80" si="3">SUM(A66:D66)</f>
        <v>57879</v>
      </c>
      <c r="H66" s="23" t="s">
        <v>6</v>
      </c>
      <c r="I66" s="23">
        <f>SUM(I61:I65)</f>
        <v>1313718</v>
      </c>
    </row>
    <row r="67" spans="1:9">
      <c r="A67" s="18">
        <f>mem_dec!A67*mem_dec!A90</f>
        <v>20022</v>
      </c>
      <c r="B67" s="18">
        <f>mem_dec!B67*mem_dec!B90</f>
        <v>20601</v>
      </c>
      <c r="C67" s="18">
        <f>mem_dec!C67*mem_dec!C90</f>
        <v>17135</v>
      </c>
      <c r="D67" s="18">
        <f>mem_dec!D67*mem_dec!D90</f>
        <v>49896</v>
      </c>
      <c r="E67" s="30"/>
      <c r="F67" s="18">
        <f t="shared" si="3"/>
        <v>107654</v>
      </c>
    </row>
    <row r="68" spans="1:9">
      <c r="A68" s="18">
        <f>mem_dec!A68*mem_dec!A91</f>
        <v>13206</v>
      </c>
      <c r="B68" s="18">
        <f>mem_dec!B68*mem_dec!B91</f>
        <v>1134</v>
      </c>
      <c r="C68" s="18">
        <f>mem_dec!C68*mem_dec!C91</f>
        <v>13400</v>
      </c>
      <c r="D68" s="18">
        <f>mem_dec!D68*mem_dec!D91</f>
        <v>4389</v>
      </c>
      <c r="E68" s="30"/>
      <c r="F68" s="18">
        <f t="shared" si="3"/>
        <v>32129</v>
      </c>
    </row>
    <row r="69" spans="1:9">
      <c r="A69" s="18">
        <f>mem_dec!A69*mem_dec!A92</f>
        <v>11580</v>
      </c>
      <c r="B69" s="18">
        <f>mem_dec!B69*mem_dec!B92</f>
        <v>4959</v>
      </c>
      <c r="C69" s="18">
        <f>mem_dec!C69*mem_dec!C92</f>
        <v>19844</v>
      </c>
      <c r="D69" s="18">
        <f>mem_dec!D69*mem_dec!D92</f>
        <v>6318</v>
      </c>
      <c r="E69" s="30"/>
      <c r="F69" s="18">
        <f t="shared" si="3"/>
        <v>42701</v>
      </c>
    </row>
    <row r="70" spans="1:9">
      <c r="A70" s="18">
        <f>mem_dec!A70*mem_dec!A93</f>
        <v>32956</v>
      </c>
      <c r="B70" s="18">
        <f>mem_dec!B70*mem_dec!B93</f>
        <v>48705</v>
      </c>
      <c r="C70" s="18">
        <f>mem_dec!C70*mem_dec!C93</f>
        <v>129</v>
      </c>
      <c r="D70" s="18">
        <f>mem_dec!D70*mem_dec!D93</f>
        <v>29440</v>
      </c>
      <c r="E70" s="30"/>
      <c r="F70" s="18">
        <f t="shared" si="3"/>
        <v>111230</v>
      </c>
    </row>
    <row r="71" spans="1:9">
      <c r="A71" s="17">
        <f>mem_dec!A71*mem_dec!A97</f>
        <v>5246</v>
      </c>
      <c r="B71" s="17">
        <f>mem_dec!B71*mem_dec!B97</f>
        <v>72</v>
      </c>
      <c r="C71" s="17">
        <f>mem_dec!C71*mem_dec!C97</f>
        <v>6156</v>
      </c>
      <c r="D71" s="17">
        <f>mem_dec!D71*mem_dec!D97</f>
        <v>27863</v>
      </c>
      <c r="E71" s="30"/>
      <c r="F71" s="17">
        <f t="shared" si="3"/>
        <v>39337</v>
      </c>
    </row>
    <row r="72" spans="1:9">
      <c r="A72" s="17">
        <f>mem_dec!A72*mem_dec!A98</f>
        <v>12384</v>
      </c>
      <c r="B72" s="17">
        <f>mem_dec!B72*mem_dec!B98</f>
        <v>8066</v>
      </c>
      <c r="C72" s="17">
        <f>mem_dec!C72*mem_dec!C98</f>
        <v>14732</v>
      </c>
      <c r="D72" s="17">
        <f>mem_dec!D72*mem_dec!D98</f>
        <v>23219</v>
      </c>
      <c r="E72" s="30"/>
      <c r="F72" s="17">
        <f t="shared" si="3"/>
        <v>58401</v>
      </c>
    </row>
    <row r="73" spans="1:9">
      <c r="A73" s="17">
        <f>mem_dec!A73*mem_dec!A99</f>
        <v>5530</v>
      </c>
      <c r="B73" s="17">
        <f>mem_dec!B73*mem_dec!B99</f>
        <v>7360</v>
      </c>
      <c r="C73" s="17">
        <f>mem_dec!C73*mem_dec!C99</f>
        <v>4550</v>
      </c>
      <c r="D73" s="17">
        <f>mem_dec!D73*mem_dec!D99</f>
        <v>2133</v>
      </c>
      <c r="E73" s="30"/>
      <c r="F73" s="17">
        <f t="shared" si="3"/>
        <v>19573</v>
      </c>
    </row>
    <row r="74" spans="1:9">
      <c r="A74" s="17">
        <f>mem_dec!A74*mem_dec!A100</f>
        <v>33004</v>
      </c>
      <c r="B74" s="17">
        <f>mem_dec!B74*mem_dec!B100</f>
        <v>15200</v>
      </c>
      <c r="C74" s="17">
        <f>mem_dec!C74*mem_dec!C100</f>
        <v>36704</v>
      </c>
      <c r="D74" s="17">
        <f>mem_dec!D74*mem_dec!D100</f>
        <v>6253</v>
      </c>
      <c r="E74" s="30"/>
      <c r="F74" s="17">
        <f t="shared" si="3"/>
        <v>91161</v>
      </c>
    </row>
    <row r="75" spans="1:9">
      <c r="A75" s="17">
        <f>mem_dec!A75*mem_dec!A101</f>
        <v>43472</v>
      </c>
      <c r="B75" s="17">
        <f>mem_dec!B75*mem_dec!B101</f>
        <v>31980</v>
      </c>
      <c r="C75" s="17">
        <f>mem_dec!C75*mem_dec!C101</f>
        <v>3939</v>
      </c>
      <c r="D75" s="17">
        <f>mem_dec!D75*mem_dec!D101</f>
        <v>46434</v>
      </c>
      <c r="E75" s="30"/>
      <c r="F75" s="17">
        <f t="shared" si="3"/>
        <v>125825</v>
      </c>
    </row>
    <row r="76" spans="1:9">
      <c r="A76" s="18">
        <f>mem_dec!A105*mem_dec!A76</f>
        <v>18909</v>
      </c>
      <c r="B76" s="18">
        <f>mem_dec!B105*mem_dec!B76</f>
        <v>936</v>
      </c>
      <c r="C76" s="18">
        <f>mem_dec!C105*mem_dec!C76</f>
        <v>990</v>
      </c>
      <c r="D76" s="18">
        <f>mem_dec!D105*mem_dec!D76</f>
        <v>7672</v>
      </c>
      <c r="E76" s="30"/>
      <c r="F76" s="18">
        <f t="shared" si="3"/>
        <v>28507</v>
      </c>
    </row>
    <row r="77" spans="1:9">
      <c r="A77" s="18">
        <f>mem_dec!A106*mem_dec!A77</f>
        <v>24381</v>
      </c>
      <c r="B77" s="18">
        <f>mem_dec!B106*mem_dec!B77</f>
        <v>21716</v>
      </c>
      <c r="C77" s="18">
        <f>mem_dec!C106*mem_dec!C77</f>
        <v>40098</v>
      </c>
      <c r="D77" s="18">
        <f>mem_dec!D106*mem_dec!D77</f>
        <v>13673</v>
      </c>
      <c r="E77" s="30"/>
      <c r="F77" s="18">
        <f t="shared" si="3"/>
        <v>99868</v>
      </c>
    </row>
    <row r="78" spans="1:9">
      <c r="A78" s="18">
        <f>mem_dec!A107*mem_dec!A78</f>
        <v>7920</v>
      </c>
      <c r="B78" s="18">
        <f>mem_dec!B107*mem_dec!B78</f>
        <v>3600</v>
      </c>
      <c r="C78" s="18">
        <f>mem_dec!C107*mem_dec!C78</f>
        <v>22990</v>
      </c>
      <c r="D78" s="18">
        <f>mem_dec!D107*mem_dec!D78</f>
        <v>4294</v>
      </c>
      <c r="E78" s="30"/>
      <c r="F78" s="18">
        <f t="shared" si="3"/>
        <v>38804</v>
      </c>
    </row>
    <row r="79" spans="1:9">
      <c r="A79" s="18">
        <f>mem_dec!A108*mem_dec!A79</f>
        <v>29304</v>
      </c>
      <c r="B79" s="18">
        <f>mem_dec!B108*mem_dec!B79</f>
        <v>1274</v>
      </c>
      <c r="C79" s="18">
        <f>mem_dec!C108*mem_dec!C79</f>
        <v>16600</v>
      </c>
      <c r="D79" s="18">
        <f>mem_dec!D108*mem_dec!D79</f>
        <v>23290</v>
      </c>
      <c r="E79" s="30"/>
      <c r="F79" s="18">
        <f t="shared" si="3"/>
        <v>70468</v>
      </c>
    </row>
    <row r="80" spans="1:9">
      <c r="A80" s="18">
        <f>mem_dec!A109*mem_dec!A80</f>
        <v>1612</v>
      </c>
      <c r="B80" s="18">
        <f>mem_dec!B109*mem_dec!B80</f>
        <v>15912</v>
      </c>
      <c r="C80" s="18">
        <f>mem_dec!C109*mem_dec!C80</f>
        <v>16192</v>
      </c>
      <c r="D80" s="18">
        <f>mem_dec!D109*mem_dec!D80</f>
        <v>39816</v>
      </c>
      <c r="E80" s="31"/>
      <c r="F80" s="18">
        <f t="shared" si="3"/>
        <v>73532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EAEA-E4F6-4C51-9D7C-5BC52030D2DC}">
  <dimension ref="A1:J80"/>
  <sheetViews>
    <sheetView topLeftCell="A18" workbookViewId="0">
      <selection activeCell="I26" sqref="I26"/>
    </sheetView>
  </sheetViews>
  <sheetFormatPr defaultRowHeight="14.25"/>
  <cols>
    <col min="5" max="5" width="9.875" bestFit="1" customWidth="1"/>
    <col min="10" max="10" width="9.875" bestFit="1" customWidth="1"/>
  </cols>
  <sheetData>
    <row r="1" spans="1:9">
      <c r="A1" s="17" t="str">
        <f>DEC2HEX(out_col0!A1)</f>
        <v>0</v>
      </c>
      <c r="B1" s="17" t="str">
        <f>DEC2HEX(out_col0!B1)</f>
        <v>2484</v>
      </c>
      <c r="C1" s="17" t="str">
        <f>DEC2HEX(out_col0!C1)</f>
        <v>8D7</v>
      </c>
      <c r="D1" s="17" t="str">
        <f>DEC2HEX(out_col0!D1)</f>
        <v>1BE2</v>
      </c>
      <c r="E1" s="28"/>
      <c r="F1" s="17" t="str">
        <f>DEC2HEX(out_col0!F1)</f>
        <v>493D</v>
      </c>
      <c r="H1" s="23" t="str">
        <f>DEC2HEX(out_col0!H1)</f>
        <v>1</v>
      </c>
      <c r="I1" s="23" t="str">
        <f>DEC2HEX(out_col0!I1)</f>
        <v>21BDF</v>
      </c>
    </row>
    <row r="2" spans="1:9">
      <c r="A2" s="17" t="str">
        <f>DEC2HEX(out_col0!A2)</f>
        <v>429A</v>
      </c>
      <c r="B2" s="17" t="str">
        <f>DEC2HEX(out_col0!B2)</f>
        <v>D3</v>
      </c>
      <c r="C2" s="17" t="str">
        <f>DEC2HEX(out_col0!C2)</f>
        <v>6644</v>
      </c>
      <c r="D2" s="17" t="str">
        <f>DEC2HEX(out_col0!D2)</f>
        <v>1BE8</v>
      </c>
      <c r="E2" s="28"/>
      <c r="F2" s="17" t="str">
        <f>DEC2HEX(out_col0!F2)</f>
        <v>C599</v>
      </c>
      <c r="H2" s="23" t="str">
        <f>DEC2HEX(out_col0!H2)</f>
        <v>2</v>
      </c>
      <c r="I2" s="23" t="str">
        <f>DEC2HEX(out_col0!I2)</f>
        <v>3E087</v>
      </c>
    </row>
    <row r="3" spans="1:9">
      <c r="A3" s="17" t="str">
        <f>DEC2HEX(out_col0!A3)</f>
        <v>63C6</v>
      </c>
      <c r="B3" s="17" t="str">
        <f>DEC2HEX(out_col0!B3)</f>
        <v>318D</v>
      </c>
      <c r="C3" s="17" t="str">
        <f>DEC2HEX(out_col0!C3)</f>
        <v>438</v>
      </c>
      <c r="D3" s="17" t="str">
        <f>DEC2HEX(out_col0!D3)</f>
        <v>2CF4</v>
      </c>
      <c r="E3" s="28"/>
      <c r="F3" s="17" t="str">
        <f>DEC2HEX(out_col0!F3)</f>
        <v>C67F</v>
      </c>
      <c r="H3" s="23" t="str">
        <f>DEC2HEX(out_col0!H3)</f>
        <v>3</v>
      </c>
      <c r="I3" s="23" t="str">
        <f>DEC2HEX(out_col0!I3)</f>
        <v>39CC1</v>
      </c>
    </row>
    <row r="4" spans="1:9">
      <c r="A4" s="17" t="str">
        <f>DEC2HEX(out_col0!A4)</f>
        <v>B7</v>
      </c>
      <c r="B4" s="17" t="str">
        <f>DEC2HEX(out_col0!B4)</f>
        <v>F0</v>
      </c>
      <c r="C4" s="17" t="str">
        <f>DEC2HEX(out_col0!C4)</f>
        <v>2E68</v>
      </c>
      <c r="D4" s="17" t="str">
        <f>DEC2HEX(out_col0!D4)</f>
        <v>10E0</v>
      </c>
      <c r="E4" s="28"/>
      <c r="F4" s="17" t="str">
        <f>DEC2HEX(out_col0!F4)</f>
        <v>40EF</v>
      </c>
      <c r="H4" s="23" t="str">
        <f>DEC2HEX(out_col0!H4)</f>
        <v>4</v>
      </c>
      <c r="I4" s="23" t="str">
        <f>DEC2HEX(out_col0!I4)</f>
        <v>3E42E</v>
      </c>
    </row>
    <row r="5" spans="1:9">
      <c r="A5" s="17" t="str">
        <f>DEC2HEX(out_col0!A5)</f>
        <v>165F</v>
      </c>
      <c r="B5" s="17" t="str">
        <f>DEC2HEX(out_col0!B5)</f>
        <v>4026</v>
      </c>
      <c r="C5" s="17" t="str">
        <f>DEC2HEX(out_col0!C5)</f>
        <v>E10</v>
      </c>
      <c r="D5" s="17" t="str">
        <f>DEC2HEX(out_col0!D5)</f>
        <v>4890</v>
      </c>
      <c r="E5" s="28"/>
      <c r="F5" s="17" t="str">
        <f>DEC2HEX(out_col0!F5)</f>
        <v>AD25</v>
      </c>
      <c r="H5" s="23" t="str">
        <f>DEC2HEX(out_col0!H5)</f>
        <v>5</v>
      </c>
      <c r="I5" s="23" t="str">
        <f>DEC2HEX(out_col0!I5)</f>
        <v>31C1A</v>
      </c>
    </row>
    <row r="6" spans="1:9">
      <c r="A6" s="18" t="str">
        <f>DEC2HEX(out_col0!A6)</f>
        <v>1F8</v>
      </c>
      <c r="B6" s="18" t="str">
        <f>DEC2HEX(out_col0!B6)</f>
        <v>23A0</v>
      </c>
      <c r="C6" s="18" t="str">
        <f>DEC2HEX(out_col0!C6)</f>
        <v>4AF4</v>
      </c>
      <c r="D6" s="18" t="str">
        <f>DEC2HEX(out_col0!D6)</f>
        <v>1617</v>
      </c>
      <c r="E6" s="28"/>
      <c r="F6" s="18" t="str">
        <f>DEC2HEX(out_col0!F6)</f>
        <v>86A3</v>
      </c>
      <c r="H6" s="23" t="s">
        <v>6</v>
      </c>
      <c r="I6" s="23" t="str">
        <f>DEC2HEX(out_col0!I6)</f>
        <v>10996F</v>
      </c>
    </row>
    <row r="7" spans="1:9">
      <c r="A7" s="18" t="str">
        <f>DEC2HEX(out_col0!A7)</f>
        <v>63D8</v>
      </c>
      <c r="B7" s="18" t="str">
        <f>DEC2HEX(out_col0!B7)</f>
        <v>16FE</v>
      </c>
      <c r="C7" s="18" t="str">
        <f>DEC2HEX(out_col0!C7)</f>
        <v>4797</v>
      </c>
      <c r="D7" s="18" t="str">
        <f>DEC2HEX(out_col0!D7)</f>
        <v>D23F</v>
      </c>
      <c r="E7" s="28"/>
      <c r="F7" s="18" t="str">
        <f>DEC2HEX(out_col0!F7)</f>
        <v>194AC</v>
      </c>
    </row>
    <row r="8" spans="1:9">
      <c r="A8" s="18" t="str">
        <f>DEC2HEX(out_col0!A8)</f>
        <v>D356</v>
      </c>
      <c r="B8" s="18" t="str">
        <f>DEC2HEX(out_col0!B8)</f>
        <v>444</v>
      </c>
      <c r="C8" s="18" t="str">
        <f>DEC2HEX(out_col0!C8)</f>
        <v>3458</v>
      </c>
      <c r="D8" s="18" t="str">
        <f>DEC2HEX(out_col0!D8)</f>
        <v>802D</v>
      </c>
      <c r="E8" s="28"/>
      <c r="F8" s="18" t="str">
        <f>DEC2HEX(out_col0!F8)</f>
        <v>18C1F</v>
      </c>
    </row>
    <row r="9" spans="1:9">
      <c r="A9" s="18" t="str">
        <f>DEC2HEX(out_col0!A9)</f>
        <v>B06A</v>
      </c>
      <c r="B9" s="18" t="str">
        <f>DEC2HEX(out_col0!B9)</f>
        <v>B37</v>
      </c>
      <c r="C9" s="18" t="str">
        <f>DEC2HEX(out_col0!C9)</f>
        <v>AB1A</v>
      </c>
      <c r="D9" s="18" t="str">
        <f>DEC2HEX(out_col0!D9)</f>
        <v>A20</v>
      </c>
      <c r="E9" s="28"/>
      <c r="F9" s="18" t="str">
        <f>DEC2HEX(out_col0!F9)</f>
        <v>170DB</v>
      </c>
    </row>
    <row r="10" spans="1:9">
      <c r="A10" s="18" t="str">
        <f>DEC2HEX(out_col0!A10)</f>
        <v>3656</v>
      </c>
      <c r="B10" s="18" t="str">
        <f>DEC2HEX(out_col0!B10)</f>
        <v>EF1</v>
      </c>
      <c r="C10" s="18" t="str">
        <f>DEC2HEX(out_col0!C10)</f>
        <v>C6E</v>
      </c>
      <c r="D10" s="18" t="str">
        <f>DEC2HEX(out_col0!D10)</f>
        <v>3336</v>
      </c>
      <c r="E10" s="28"/>
      <c r="F10" s="18" t="str">
        <f>DEC2HEX(out_col0!F10)</f>
        <v>84EB</v>
      </c>
    </row>
    <row r="11" spans="1:9">
      <c r="A11" s="17" t="str">
        <f>DEC2HEX(out_col0!A11)</f>
        <v>A6A</v>
      </c>
      <c r="B11" s="17" t="str">
        <f>DEC2HEX(out_col0!B11)</f>
        <v>1638</v>
      </c>
      <c r="C11" s="17" t="str">
        <f>DEC2HEX(out_col0!C11)</f>
        <v>1E6</v>
      </c>
      <c r="D11" s="17" t="str">
        <f>DEC2HEX(out_col0!D11)</f>
        <v>2953</v>
      </c>
      <c r="E11" s="28"/>
      <c r="F11" s="17" t="str">
        <f>DEC2HEX(out_col0!F11)</f>
        <v>4BDB</v>
      </c>
    </row>
    <row r="12" spans="1:9">
      <c r="A12" s="17" t="str">
        <f>DEC2HEX(out_col0!A12)</f>
        <v>4260</v>
      </c>
      <c r="B12" s="17" t="str">
        <f>DEC2HEX(out_col0!B12)</f>
        <v>1D0D</v>
      </c>
      <c r="C12" s="17" t="str">
        <f>DEC2HEX(out_col0!C12)</f>
        <v>4C2</v>
      </c>
      <c r="D12" s="17" t="str">
        <f>DEC2HEX(out_col0!D12)</f>
        <v>4A98</v>
      </c>
      <c r="E12" s="28"/>
      <c r="F12" s="17" t="str">
        <f>DEC2HEX(out_col0!F12)</f>
        <v>AEC7</v>
      </c>
    </row>
    <row r="13" spans="1:9">
      <c r="A13" s="17" t="str">
        <f>DEC2HEX(out_col0!A13)</f>
        <v>2F4E</v>
      </c>
      <c r="B13" s="17" t="str">
        <f>DEC2HEX(out_col0!B13)</f>
        <v>BDC</v>
      </c>
      <c r="C13" s="17" t="str">
        <f>DEC2HEX(out_col0!C13)</f>
        <v>38E</v>
      </c>
      <c r="D13" s="17" t="str">
        <f>DEC2HEX(out_col0!D13)</f>
        <v>1332</v>
      </c>
      <c r="E13" s="28"/>
      <c r="F13" s="17" t="str">
        <f>DEC2HEX(out_col0!F13)</f>
        <v>51EA</v>
      </c>
    </row>
    <row r="14" spans="1:9">
      <c r="A14" s="17" t="str">
        <f>DEC2HEX(out_col0!A14)</f>
        <v>69CC</v>
      </c>
      <c r="B14" s="17" t="str">
        <f>DEC2HEX(out_col0!B14)</f>
        <v>E40</v>
      </c>
      <c r="C14" s="17" t="str">
        <f>DEC2HEX(out_col0!C14)</f>
        <v>427C</v>
      </c>
      <c r="D14" s="17" t="str">
        <f>DEC2HEX(out_col0!D14)</f>
        <v>1EEE</v>
      </c>
      <c r="E14" s="28"/>
      <c r="F14" s="17" t="str">
        <f>DEC2HEX(out_col0!F14)</f>
        <v>D976</v>
      </c>
    </row>
    <row r="15" spans="1:9">
      <c r="A15" s="17" t="str">
        <f>DEC2HEX(out_col0!A15)</f>
        <v>2B6B</v>
      </c>
      <c r="B15" s="17" t="str">
        <f>DEC2HEX(out_col0!B15)</f>
        <v>41FC</v>
      </c>
      <c r="C15" s="17" t="str">
        <f>DEC2HEX(out_col0!C15)</f>
        <v>13F5</v>
      </c>
      <c r="D15" s="17" t="str">
        <f>DEC2HEX(out_col0!D15)</f>
        <v>CD83</v>
      </c>
      <c r="E15" s="28"/>
      <c r="F15" s="17" t="str">
        <f>DEC2HEX(out_col0!F15)</f>
        <v>14EDF</v>
      </c>
    </row>
    <row r="16" spans="1:9">
      <c r="A16" s="18" t="str">
        <f>DEC2HEX(out_col0!A16)</f>
        <v>23D</v>
      </c>
      <c r="B16" s="18" t="str">
        <f>DEC2HEX(out_col0!B16)</f>
        <v>CA02</v>
      </c>
      <c r="C16" s="18" t="str">
        <f>DEC2HEX(out_col0!C16)</f>
        <v>205</v>
      </c>
      <c r="D16" s="18" t="str">
        <f>DEC2HEX(out_col0!D16)</f>
        <v>31E0</v>
      </c>
      <c r="E16" s="28"/>
      <c r="F16" s="18" t="str">
        <f>DEC2HEX(out_col0!F16)</f>
        <v>10024</v>
      </c>
    </row>
    <row r="17" spans="1:10">
      <c r="A17" s="18" t="str">
        <f>DEC2HEX(out_col0!A17)</f>
        <v>A95</v>
      </c>
      <c r="B17" s="18" t="str">
        <f>DEC2HEX(out_col0!B17)</f>
        <v>1DE6</v>
      </c>
      <c r="C17" s="18" t="str">
        <f>DEC2HEX(out_col0!C17)</f>
        <v>5881</v>
      </c>
      <c r="D17" s="18" t="str">
        <f>DEC2HEX(out_col0!D17)</f>
        <v>567F</v>
      </c>
      <c r="E17" s="28"/>
      <c r="F17" s="18" t="str">
        <f>DEC2HEX(out_col0!F17)</f>
        <v>D77B</v>
      </c>
    </row>
    <row r="18" spans="1:10">
      <c r="A18" s="18" t="str">
        <f>DEC2HEX(out_col0!A18)</f>
        <v>21B0</v>
      </c>
      <c r="B18" s="18" t="str">
        <f>DEC2HEX(out_col0!B18)</f>
        <v>A0F0</v>
      </c>
      <c r="C18" s="18" t="str">
        <f>DEC2HEX(out_col0!C18)</f>
        <v>29AE</v>
      </c>
      <c r="D18" s="18" t="str">
        <f>DEC2HEX(out_col0!D18)</f>
        <v>BEB</v>
      </c>
      <c r="E18" s="28"/>
      <c r="F18" s="18" t="str">
        <f>DEC2HEX(out_col0!F18)</f>
        <v>F839</v>
      </c>
    </row>
    <row r="19" spans="1:10">
      <c r="A19" s="18" t="str">
        <f>DEC2HEX(out_col0!A19)</f>
        <v>7FE0</v>
      </c>
      <c r="B19" s="18" t="str">
        <f>DEC2HEX(out_col0!B19)</f>
        <v>666</v>
      </c>
      <c r="C19" s="18" t="str">
        <f>DEC2HEX(out_col0!C19)</f>
        <v>8598</v>
      </c>
      <c r="D19" s="18" t="str">
        <f>DEC2HEX(out_col0!D19)</f>
        <v>4D10</v>
      </c>
      <c r="E19" s="28"/>
      <c r="F19" s="18" t="str">
        <f>DEC2HEX(out_col0!F19)</f>
        <v>158EE</v>
      </c>
    </row>
    <row r="20" spans="1:10">
      <c r="A20" s="18" t="str">
        <f>DEC2HEX(out_col0!A20)</f>
        <v>813</v>
      </c>
      <c r="B20" s="18" t="str">
        <f>DEC2HEX(out_col0!B20)</f>
        <v>2E50</v>
      </c>
      <c r="C20" s="18" t="str">
        <f>DEC2HEX(out_col0!C20)</f>
        <v>5EE0</v>
      </c>
      <c r="D20" s="18" t="str">
        <f>DEC2HEX(out_col0!D20)</f>
        <v>5E8</v>
      </c>
      <c r="E20" s="28"/>
      <c r="F20" s="18" t="str">
        <f>DEC2HEX(out_col0!F20)</f>
        <v>9B2B</v>
      </c>
    </row>
    <row r="21" spans="1:10">
      <c r="A21" s="17" t="str">
        <f>DEC2HEX(out_col0!A21)</f>
        <v>0</v>
      </c>
      <c r="B21" s="17" t="str">
        <f>DEC2HEX(out_col0!B21)</f>
        <v>1C34</v>
      </c>
      <c r="C21" s="17" t="str">
        <f>DEC2HEX(out_col0!C21)</f>
        <v>1A85</v>
      </c>
      <c r="D21" s="17" t="str">
        <f>DEC2HEX(out_col0!D21)</f>
        <v>1228</v>
      </c>
      <c r="E21" s="29"/>
      <c r="F21" s="17" t="str">
        <f>DEC2HEX(out_col0!F21)</f>
        <v>48E1</v>
      </c>
      <c r="G21" s="20"/>
      <c r="H21" s="23" t="str">
        <f>DEC2HEX(out_col0!H21)</f>
        <v>1</v>
      </c>
      <c r="I21" s="23" t="str">
        <f>DEC2HEX(out_col0!I21)</f>
        <v>21527</v>
      </c>
    </row>
    <row r="22" spans="1:10">
      <c r="A22" s="17" t="str">
        <f>DEC2HEX(out_col0!A22)</f>
        <v>5F0F</v>
      </c>
      <c r="B22" s="17" t="str">
        <f>DEC2HEX(out_col0!B22)</f>
        <v>1</v>
      </c>
      <c r="C22" s="17" t="str">
        <f>DEC2HEX(out_col0!C22)</f>
        <v>81F0</v>
      </c>
      <c r="D22" s="17" t="str">
        <f>DEC2HEX(out_col0!D22)</f>
        <v>F9B</v>
      </c>
      <c r="E22" s="30"/>
      <c r="F22" s="17" t="str">
        <f>DEC2HEX(out_col0!F22)</f>
        <v>F09B</v>
      </c>
      <c r="H22" s="23" t="str">
        <f>DEC2HEX(out_col0!H22)</f>
        <v>2</v>
      </c>
      <c r="I22" s="23" t="str">
        <f>DEC2HEX(out_col0!I22)</f>
        <v>4770E</v>
      </c>
      <c r="J22" s="23" t="str">
        <f>DEC2HEX(out_col0!J22)</f>
        <v>68C35</v>
      </c>
    </row>
    <row r="23" spans="1:10">
      <c r="A23" s="17" t="str">
        <f>DEC2HEX(out_col0!A23)</f>
        <v>4D19</v>
      </c>
      <c r="B23" s="17" t="str">
        <f>DEC2HEX(out_col0!B23)</f>
        <v>7C4C</v>
      </c>
      <c r="C23" s="17" t="str">
        <f>DEC2HEX(out_col0!C23)</f>
        <v>19A</v>
      </c>
      <c r="D23" s="17" t="str">
        <f>DEC2HEX(out_col0!D23)</f>
        <v>32DC</v>
      </c>
      <c r="E23" s="30"/>
      <c r="F23" s="17" t="str">
        <f>DEC2HEX(out_col0!F23)</f>
        <v>FDDB</v>
      </c>
      <c r="H23" s="23" t="str">
        <f>DEC2HEX(out_col0!H23)</f>
        <v>3</v>
      </c>
      <c r="I23" s="23" t="str">
        <f>DEC2HEX(out_col0!I23)</f>
        <v>3340C</v>
      </c>
      <c r="J23" s="23" t="str">
        <f>DEC2HEX(out_col0!J23)</f>
        <v>9C041</v>
      </c>
    </row>
    <row r="24" spans="1:10">
      <c r="A24" s="17" t="str">
        <f>DEC2HEX(out_col0!A24)</f>
        <v>342F</v>
      </c>
      <c r="B24" s="17" t="str">
        <f>DEC2HEX(out_col0!B24)</f>
        <v>E1</v>
      </c>
      <c r="C24" s="17" t="str">
        <f>DEC2HEX(out_col0!C24)</f>
        <v>2D0</v>
      </c>
      <c r="D24" s="17" t="str">
        <f>DEC2HEX(out_col0!D24)</f>
        <v>1734</v>
      </c>
      <c r="E24" s="30"/>
      <c r="F24" s="17" t="str">
        <f>DEC2HEX(out_col0!F24)</f>
        <v>4F14</v>
      </c>
      <c r="H24" s="23" t="str">
        <f>DEC2HEX(out_col0!H24)</f>
        <v>4</v>
      </c>
      <c r="I24" s="23" t="str">
        <f>DEC2HEX(out_col0!I24)</f>
        <v>3BCE8</v>
      </c>
      <c r="J24" s="23" t="str">
        <f>DEC2HEX(out_col0!J24)</f>
        <v>D7D29</v>
      </c>
    </row>
    <row r="25" spans="1:10">
      <c r="A25" s="17" t="str">
        <f>DEC2HEX(out_col0!A25)</f>
        <v>D6F5</v>
      </c>
      <c r="B25" s="17" t="str">
        <f>DEC2HEX(out_col0!B25)</f>
        <v>3A7D</v>
      </c>
      <c r="C25" s="17" t="str">
        <f>DEC2HEX(out_col0!C25)</f>
        <v>1176</v>
      </c>
      <c r="D25" s="17" t="str">
        <f>DEC2HEX(out_col0!D25)</f>
        <v>C570</v>
      </c>
      <c r="E25" s="30"/>
      <c r="F25" s="17" t="str">
        <f>DEC2HEX(out_col0!F25)</f>
        <v>1E858</v>
      </c>
      <c r="H25" s="23" t="str">
        <f>DEC2HEX(out_col0!H25)</f>
        <v>5</v>
      </c>
      <c r="I25" s="23" t="str">
        <f>DEC2HEX(out_col0!I25)</f>
        <v>68F3F</v>
      </c>
      <c r="J25" s="23" t="str">
        <f>DEC2HEX(out_col0!J25)</f>
        <v>140C68</v>
      </c>
    </row>
    <row r="26" spans="1:10">
      <c r="A26" s="18" t="str">
        <f>DEC2HEX(out_col0!A26)</f>
        <v>5010</v>
      </c>
      <c r="B26" s="18" t="str">
        <f>DEC2HEX(out_col0!B26)</f>
        <v>1560</v>
      </c>
      <c r="C26" s="18" t="str">
        <f>DEC2HEX(out_col0!C26)</f>
        <v>1BBA</v>
      </c>
      <c r="D26" s="18" t="str">
        <f>DEC2HEX(out_col0!D26)</f>
        <v>8AF</v>
      </c>
      <c r="E26" s="30"/>
      <c r="F26" s="18" t="str">
        <f>DEC2HEX(out_col0!F26)</f>
        <v>89D9</v>
      </c>
      <c r="H26" s="23" t="s">
        <v>6</v>
      </c>
      <c r="I26" s="26" t="str">
        <f>DEC2HEX(out_col0!I26)</f>
        <v>140C68</v>
      </c>
    </row>
    <row r="27" spans="1:10">
      <c r="A27" s="18" t="str">
        <f>DEC2HEX(out_col0!A27)</f>
        <v>CD83</v>
      </c>
      <c r="B27" s="18" t="str">
        <f>DEC2HEX(out_col0!B27)</f>
        <v>DA</v>
      </c>
      <c r="C27" s="18" t="str">
        <f>DEC2HEX(out_col0!C27)</f>
        <v>50E7</v>
      </c>
      <c r="D27" s="18" t="str">
        <f>DEC2HEX(out_col0!D27)</f>
        <v>D23F</v>
      </c>
      <c r="E27" s="30"/>
      <c r="F27" s="18" t="str">
        <f>DEC2HEX(out_col0!F27)</f>
        <v>1F183</v>
      </c>
    </row>
    <row r="28" spans="1:10">
      <c r="A28" s="18" t="str">
        <f>DEC2HEX(out_col0!A28)</f>
        <v>1821</v>
      </c>
      <c r="B28" s="18" t="str">
        <f>DEC2HEX(out_col0!B28)</f>
        <v>2124</v>
      </c>
      <c r="C28" s="18" t="str">
        <f>DEC2HEX(out_col0!C28)</f>
        <v>19C8</v>
      </c>
      <c r="D28" s="18" t="str">
        <f>DEC2HEX(out_col0!D28)</f>
        <v>54E8</v>
      </c>
      <c r="E28" s="30"/>
      <c r="F28" s="18" t="str">
        <f>DEC2HEX(out_col0!F28)</f>
        <v>A7F5</v>
      </c>
    </row>
    <row r="29" spans="1:10">
      <c r="A29" s="18" t="str">
        <f>DEC2HEX(out_col0!A29)</f>
        <v>8936</v>
      </c>
      <c r="B29" s="18" t="str">
        <f>DEC2HEX(out_col0!B29)</f>
        <v>12B1</v>
      </c>
      <c r="C29" s="18" t="str">
        <f>DEC2HEX(out_col0!C29)</f>
        <v>B0C6</v>
      </c>
      <c r="D29" s="18" t="str">
        <f>DEC2HEX(out_col0!D29)</f>
        <v>1F38</v>
      </c>
      <c r="E29" s="30"/>
      <c r="F29" s="18" t="str">
        <f>DEC2HEX(out_col0!F29)</f>
        <v>16BE5</v>
      </c>
    </row>
    <row r="30" spans="1:10">
      <c r="A30" s="18" t="str">
        <f>DEC2HEX(out_col0!A30)</f>
        <v>93F6</v>
      </c>
      <c r="B30" s="18" t="str">
        <f>DEC2HEX(out_col0!B30)</f>
        <v>F807</v>
      </c>
      <c r="C30" s="18" t="str">
        <f>DEC2HEX(out_col0!C30)</f>
        <v>1886</v>
      </c>
      <c r="D30" s="18" t="str">
        <f>DEC2HEX(out_col0!D30)</f>
        <v>D23C</v>
      </c>
      <c r="E30" s="30"/>
      <c r="F30" s="18" t="str">
        <f>DEC2HEX(out_col0!F30)</f>
        <v>276BF</v>
      </c>
    </row>
    <row r="31" spans="1:10">
      <c r="A31" s="17" t="str">
        <f>DEC2HEX(out_col0!A31)</f>
        <v>1F94</v>
      </c>
      <c r="B31" s="17" t="str">
        <f>DEC2HEX(out_col0!B31)</f>
        <v>3D08</v>
      </c>
      <c r="C31" s="17" t="str">
        <f>DEC2HEX(out_col0!C31)</f>
        <v>639</v>
      </c>
      <c r="D31" s="17" t="str">
        <f>DEC2HEX(out_col0!D31)</f>
        <v>7ACF</v>
      </c>
      <c r="E31" s="30"/>
      <c r="F31" s="17" t="str">
        <f>DEC2HEX(out_col0!F31)</f>
        <v>DDA4</v>
      </c>
    </row>
    <row r="32" spans="1:10">
      <c r="A32" s="17" t="str">
        <f>DEC2HEX(out_col0!A32)</f>
        <v>5220</v>
      </c>
      <c r="B32" s="17" t="str">
        <f>DEC2HEX(out_col0!B32)</f>
        <v>1055</v>
      </c>
      <c r="C32" s="17" t="str">
        <f>DEC2HEX(out_col0!C32)</f>
        <v>DD2</v>
      </c>
      <c r="D32" s="17" t="str">
        <f>DEC2HEX(out_col0!D32)</f>
        <v>7A10</v>
      </c>
      <c r="E32" s="30"/>
      <c r="F32" s="17" t="str">
        <f>DEC2HEX(out_col0!F32)</f>
        <v>EA57</v>
      </c>
    </row>
    <row r="33" spans="1:9">
      <c r="A33" s="17" t="str">
        <f>DEC2HEX(out_col0!A33)</f>
        <v>3782</v>
      </c>
      <c r="B33" s="17" t="str">
        <f>DEC2HEX(out_col0!B33)</f>
        <v>29B0</v>
      </c>
      <c r="C33" s="17" t="str">
        <f>DEC2HEX(out_col0!C33)</f>
        <v>A28</v>
      </c>
      <c r="D33" s="17" t="str">
        <f>DEC2HEX(out_col0!D33)</f>
        <v>119D</v>
      </c>
      <c r="E33" s="30"/>
      <c r="F33" s="17" t="str">
        <f>DEC2HEX(out_col0!F33)</f>
        <v>7CF7</v>
      </c>
    </row>
    <row r="34" spans="1:9">
      <c r="A34" s="17" t="str">
        <f>DEC2HEX(out_col0!A34)</f>
        <v>652C</v>
      </c>
      <c r="B34" s="17" t="str">
        <f>DEC2HEX(out_col0!B34)</f>
        <v>8630</v>
      </c>
      <c r="C34" s="17" t="str">
        <f>DEC2HEX(out_col0!C34)</f>
        <v>7C4C</v>
      </c>
      <c r="D34" s="17" t="str">
        <f>DEC2HEX(out_col0!D34)</f>
        <v>20AA</v>
      </c>
      <c r="E34" s="30"/>
      <c r="F34" s="17" t="str">
        <f>DEC2HEX(out_col0!F34)</f>
        <v>18852</v>
      </c>
    </row>
    <row r="35" spans="1:9">
      <c r="A35" s="17" t="str">
        <f>DEC2HEX(out_col0!A35)</f>
        <v>1CF2</v>
      </c>
      <c r="B35" s="17" t="str">
        <f>DEC2HEX(out_col0!B35)</f>
        <v>849C</v>
      </c>
      <c r="C35" s="17" t="str">
        <f>DEC2HEX(out_col0!C35)</f>
        <v>1665</v>
      </c>
      <c r="D35" s="17" t="str">
        <f>DEC2HEX(out_col0!D35)</f>
        <v>B70C</v>
      </c>
      <c r="E35" s="30"/>
      <c r="F35" s="17" t="str">
        <f>DEC2HEX(out_col0!F35)</f>
        <v>16EFF</v>
      </c>
    </row>
    <row r="36" spans="1:9">
      <c r="A36" s="18" t="str">
        <f>DEC2HEX(out_col0!A36)</f>
        <v>2311</v>
      </c>
      <c r="B36" s="18" t="str">
        <f>DEC2HEX(out_col0!B36)</f>
        <v>35EE</v>
      </c>
      <c r="C36" s="18" t="str">
        <f>DEC2HEX(out_col0!C36)</f>
        <v>3B2</v>
      </c>
      <c r="D36" s="18" t="str">
        <f>DEC2HEX(out_col0!D36)</f>
        <v>818</v>
      </c>
      <c r="E36" s="30"/>
      <c r="F36" s="18" t="str">
        <f>DEC2HEX(out_col0!F36)</f>
        <v>64C9</v>
      </c>
    </row>
    <row r="37" spans="1:9">
      <c r="A37" s="18" t="str">
        <f>DEC2HEX(out_col0!A37)</f>
        <v>50A</v>
      </c>
      <c r="B37" s="18" t="str">
        <f>DEC2HEX(out_col0!B37)</f>
        <v>2FA1</v>
      </c>
      <c r="C37" s="18" t="str">
        <f>DEC2HEX(out_col0!C37)</f>
        <v>361F</v>
      </c>
      <c r="D37" s="18" t="str">
        <f>DEC2HEX(out_col0!D37)</f>
        <v>3FCF</v>
      </c>
      <c r="E37" s="30"/>
      <c r="F37" s="18" t="str">
        <f>DEC2HEX(out_col0!F37)</f>
        <v>AA99</v>
      </c>
    </row>
    <row r="38" spans="1:9">
      <c r="A38" s="18" t="str">
        <f>DEC2HEX(out_col0!A38)</f>
        <v>5D8</v>
      </c>
      <c r="B38" s="18" t="str">
        <f>DEC2HEX(out_col0!B38)</f>
        <v>B798</v>
      </c>
      <c r="C38" s="18" t="str">
        <f>DEC2HEX(out_col0!C38)</f>
        <v>31D8</v>
      </c>
      <c r="D38" s="18" t="str">
        <f>DEC2HEX(out_col0!D38)</f>
        <v>21FD</v>
      </c>
      <c r="E38" s="30"/>
      <c r="F38" s="18" t="str">
        <f>DEC2HEX(out_col0!F38)</f>
        <v>11145</v>
      </c>
    </row>
    <row r="39" spans="1:9">
      <c r="A39" s="18" t="str">
        <f>DEC2HEX(out_col0!A39)</f>
        <v>120C</v>
      </c>
      <c r="B39" s="18" t="str">
        <f>DEC2HEX(out_col0!B39)</f>
        <v>CE8</v>
      </c>
      <c r="C39" s="18" t="str">
        <f>DEC2HEX(out_col0!C39)</f>
        <v>3C28</v>
      </c>
      <c r="D39" s="18" t="str">
        <f>DEC2HEX(out_col0!D39)</f>
        <v>1E81</v>
      </c>
      <c r="E39" s="30"/>
      <c r="F39" s="18" t="str">
        <f>DEC2HEX(out_col0!F39)</f>
        <v>799D</v>
      </c>
    </row>
    <row r="40" spans="1:9">
      <c r="A40" s="18" t="str">
        <f>DEC2HEX(out_col0!A40)</f>
        <v>270</v>
      </c>
      <c r="B40" s="18" t="str">
        <f>DEC2HEX(out_col0!B40)</f>
        <v>2EEC</v>
      </c>
      <c r="C40" s="18" t="str">
        <f>DEC2HEX(out_col0!C40)</f>
        <v>67C5</v>
      </c>
      <c r="D40" s="18" t="str">
        <f>DEC2HEX(out_col0!D40)</f>
        <v>2808</v>
      </c>
      <c r="E40" s="31"/>
      <c r="F40" s="18" t="str">
        <f>DEC2HEX(out_col0!F40)</f>
        <v>C129</v>
      </c>
    </row>
    <row r="41" spans="1:9">
      <c r="A41" s="17" t="str">
        <f>DEC2HEX(out_col0!A41)</f>
        <v>0</v>
      </c>
      <c r="B41" s="17" t="str">
        <f>DEC2HEX(out_col0!B41)</f>
        <v>17C</v>
      </c>
      <c r="C41" s="17" t="str">
        <f>DEC2HEX(out_col0!C41)</f>
        <v>1C75</v>
      </c>
      <c r="D41" s="17" t="str">
        <f>DEC2HEX(out_col0!D41)</f>
        <v>22B1</v>
      </c>
      <c r="E41" s="29"/>
      <c r="F41" s="17" t="str">
        <f>DEC2HEX(out_col0!F41)</f>
        <v>40A2</v>
      </c>
      <c r="G41" s="20"/>
      <c r="H41" s="23" t="str">
        <f>DEC2HEX(out_col0!H41)</f>
        <v>1</v>
      </c>
      <c r="I41" s="23" t="str">
        <f>DEC2HEX(out_col0!I41)</f>
        <v>1DB22</v>
      </c>
    </row>
    <row r="42" spans="1:9">
      <c r="A42" s="17" t="str">
        <f>DEC2HEX(out_col0!A42)</f>
        <v>122A</v>
      </c>
      <c r="B42" s="17" t="str">
        <f>DEC2HEX(out_col0!B42)</f>
        <v>31</v>
      </c>
      <c r="C42" s="17" t="str">
        <f>DEC2HEX(out_col0!C42)</f>
        <v>65AA</v>
      </c>
      <c r="D42" s="17" t="str">
        <f>DEC2HEX(out_col0!D42)</f>
        <v>239E</v>
      </c>
      <c r="E42" s="30"/>
      <c r="F42" s="17" t="str">
        <f>DEC2HEX(out_col0!F42)</f>
        <v>9BA3</v>
      </c>
      <c r="H42" s="23" t="str">
        <f>DEC2HEX(out_col0!H42)</f>
        <v>2</v>
      </c>
      <c r="I42" s="23" t="str">
        <f>DEC2HEX(out_col0!I42)</f>
        <v>3ED59</v>
      </c>
    </row>
    <row r="43" spans="1:9">
      <c r="A43" s="17" t="str">
        <f>DEC2HEX(out_col0!A43)</f>
        <v>2FDF</v>
      </c>
      <c r="B43" s="17" t="str">
        <f>DEC2HEX(out_col0!B43)</f>
        <v>88E5</v>
      </c>
      <c r="C43" s="17" t="str">
        <f>DEC2HEX(out_col0!C43)</f>
        <v>163</v>
      </c>
      <c r="D43" s="17" t="str">
        <f>DEC2HEX(out_col0!D43)</f>
        <v>49D4</v>
      </c>
      <c r="E43" s="30"/>
      <c r="F43" s="17" t="str">
        <f>DEC2HEX(out_col0!F43)</f>
        <v>103FB</v>
      </c>
      <c r="H43" s="23" t="str">
        <f>DEC2HEX(out_col0!H43)</f>
        <v>3</v>
      </c>
      <c r="I43" s="23" t="str">
        <f>DEC2HEX(out_col0!I43)</f>
        <v>2D5BE</v>
      </c>
    </row>
    <row r="44" spans="1:9">
      <c r="A44" s="17" t="str">
        <f>DEC2HEX(out_col0!A44)</f>
        <v>B4DB</v>
      </c>
      <c r="B44" s="17" t="str">
        <f>DEC2HEX(out_col0!B44)</f>
        <v>4B5</v>
      </c>
      <c r="C44" s="17" t="str">
        <f>DEC2HEX(out_col0!C44)</f>
        <v>29A0</v>
      </c>
      <c r="D44" s="17" t="str">
        <f>DEC2HEX(out_col0!D44)</f>
        <v>61E</v>
      </c>
      <c r="E44" s="30"/>
      <c r="F44" s="17" t="str">
        <f>DEC2HEX(out_col0!F44)</f>
        <v>E94E</v>
      </c>
      <c r="H44" s="23" t="str">
        <f>DEC2HEX(out_col0!H44)</f>
        <v>4</v>
      </c>
      <c r="I44" s="23" t="str">
        <f>DEC2HEX(out_col0!I44)</f>
        <v>44A09</v>
      </c>
    </row>
    <row r="45" spans="1:9">
      <c r="A45" s="17" t="str">
        <f>DEC2HEX(out_col0!A45)</f>
        <v>EB62</v>
      </c>
      <c r="B45" s="17" t="str">
        <f>DEC2HEX(out_col0!B45)</f>
        <v>9791</v>
      </c>
      <c r="C45" s="17" t="str">
        <f>DEC2HEX(out_col0!C45)</f>
        <v>10FE</v>
      </c>
      <c r="D45" s="17" t="str">
        <f>DEC2HEX(out_col0!D45)</f>
        <v>D4A0</v>
      </c>
      <c r="E45" s="30"/>
      <c r="F45" s="17" t="str">
        <f>DEC2HEX(out_col0!F45)</f>
        <v>26891</v>
      </c>
      <c r="H45" s="23" t="str">
        <f>DEC2HEX(out_col0!H45)</f>
        <v>5</v>
      </c>
      <c r="I45" s="23" t="str">
        <f>DEC2HEX(out_col0!I45)</f>
        <v>6D0DE</v>
      </c>
    </row>
    <row r="46" spans="1:9">
      <c r="A46" s="18" t="str">
        <f>DEC2HEX(out_col0!A46)</f>
        <v>D20</v>
      </c>
      <c r="B46" s="18" t="str">
        <f>DEC2HEX(out_col0!B46)</f>
        <v>5100</v>
      </c>
      <c r="C46" s="18" t="str">
        <f>DEC2HEX(out_col0!C46)</f>
        <v>186</v>
      </c>
      <c r="D46" s="18" t="str">
        <f>DEC2HEX(out_col0!D46)</f>
        <v>11AC</v>
      </c>
      <c r="E46" s="30"/>
      <c r="F46" s="18" t="str">
        <f>DEC2HEX(out_col0!F46)</f>
        <v>7152</v>
      </c>
      <c r="H46" s="23" t="s">
        <v>6</v>
      </c>
      <c r="I46" s="23" t="str">
        <f>DEC2HEX(out_col0!I46)</f>
        <v>13B920</v>
      </c>
    </row>
    <row r="47" spans="1:9">
      <c r="A47" s="18" t="str">
        <f>DEC2HEX(out_col0!A47)</f>
        <v>C531</v>
      </c>
      <c r="B47" s="18" t="str">
        <f>DEC2HEX(out_col0!B47)</f>
        <v>3E97</v>
      </c>
      <c r="C47" s="18" t="str">
        <f>DEC2HEX(out_col0!C47)</f>
        <v>13CA</v>
      </c>
      <c r="D47" s="18" t="str">
        <f>DEC2HEX(out_col0!D47)</f>
        <v>78EA</v>
      </c>
      <c r="E47" s="30"/>
      <c r="F47" s="18" t="str">
        <f>DEC2HEX(out_col0!F47)</f>
        <v>1907C</v>
      </c>
    </row>
    <row r="48" spans="1:9">
      <c r="A48" s="18" t="str">
        <f>DEC2HEX(out_col0!A48)</f>
        <v>6F7E</v>
      </c>
      <c r="B48" s="18" t="str">
        <f>DEC2HEX(out_col0!B48)</f>
        <v>41A</v>
      </c>
      <c r="C48" s="18" t="str">
        <f>DEC2HEX(out_col0!C48)</f>
        <v>55F0</v>
      </c>
      <c r="D48" s="18" t="str">
        <f>DEC2HEX(out_col0!D48)</f>
        <v>8FB</v>
      </c>
      <c r="E48" s="30"/>
      <c r="F48" s="18" t="str">
        <f>DEC2HEX(out_col0!F48)</f>
        <v>D283</v>
      </c>
    </row>
    <row r="49" spans="1:9">
      <c r="A49" s="18" t="str">
        <f>DEC2HEX(out_col0!A49)</f>
        <v>771E</v>
      </c>
      <c r="B49" s="18" t="str">
        <f>DEC2HEX(out_col0!B49)</f>
        <v>61E</v>
      </c>
      <c r="C49" s="18" t="str">
        <f>DEC2HEX(out_col0!C49)</f>
        <v>854A</v>
      </c>
      <c r="D49" s="18" t="str">
        <f>DEC2HEX(out_col0!D49)</f>
        <v>20B2</v>
      </c>
      <c r="E49" s="30"/>
      <c r="F49" s="18" t="str">
        <f>DEC2HEX(out_col0!F49)</f>
        <v>12338</v>
      </c>
    </row>
    <row r="50" spans="1:9">
      <c r="A50" s="18" t="str">
        <f>DEC2HEX(out_col0!A50)</f>
        <v>5E76</v>
      </c>
      <c r="B50" s="18" t="str">
        <f>DEC2HEX(out_col0!B50)</f>
        <v>906F</v>
      </c>
      <c r="C50" s="18" t="str">
        <f>DEC2HEX(out_col0!C50)</f>
        <v>78F</v>
      </c>
      <c r="D50" s="18" t="str">
        <f>DEC2HEX(out_col0!D50)</f>
        <v>C210</v>
      </c>
      <c r="E50" s="30"/>
      <c r="F50" s="18" t="str">
        <f>DEC2HEX(out_col0!F50)</f>
        <v>1B884</v>
      </c>
    </row>
    <row r="51" spans="1:9">
      <c r="A51" s="17" t="str">
        <f>DEC2HEX(out_col0!A51)</f>
        <v>1FEA</v>
      </c>
      <c r="B51" s="17" t="str">
        <f>DEC2HEX(out_col0!B51)</f>
        <v>AB0</v>
      </c>
      <c r="C51" s="17" t="str">
        <f>DEC2HEX(out_col0!C51)</f>
        <v>1425</v>
      </c>
      <c r="D51" s="17" t="str">
        <f>DEC2HEX(out_col0!D51)</f>
        <v>77E6</v>
      </c>
      <c r="E51" s="30"/>
      <c r="F51" s="17" t="str">
        <f>DEC2HEX(out_col0!F51)</f>
        <v>B6A5</v>
      </c>
    </row>
    <row r="52" spans="1:9">
      <c r="A52" s="17" t="str">
        <f>DEC2HEX(out_col0!A52)</f>
        <v>64B0</v>
      </c>
      <c r="B52" s="17" t="str">
        <f>DEC2HEX(out_col0!B52)</f>
        <v>2491</v>
      </c>
      <c r="C52" s="17" t="str">
        <f>DEC2HEX(out_col0!C52)</f>
        <v>1960</v>
      </c>
      <c r="D52" s="17" t="str">
        <f>DEC2HEX(out_col0!D52)</f>
        <v>7A10</v>
      </c>
      <c r="E52" s="30"/>
      <c r="F52" s="17" t="str">
        <f>DEC2HEX(out_col0!F52)</f>
        <v>11CB1</v>
      </c>
    </row>
    <row r="53" spans="1:9">
      <c r="A53" s="17" t="str">
        <f>DEC2HEX(out_col0!A53)</f>
        <v>15E0</v>
      </c>
      <c r="B53" s="17" t="str">
        <f>DEC2HEX(out_col0!B53)</f>
        <v>8FC</v>
      </c>
      <c r="C53" s="17" t="str">
        <f>DEC2HEX(out_col0!C53)</f>
        <v>52E</v>
      </c>
      <c r="D53" s="17" t="str">
        <f>DEC2HEX(out_col0!D53)</f>
        <v>EC4</v>
      </c>
      <c r="E53" s="30"/>
      <c r="F53" s="17" t="str">
        <f>DEC2HEX(out_col0!F53)</f>
        <v>32CE</v>
      </c>
    </row>
    <row r="54" spans="1:9">
      <c r="A54" s="17" t="str">
        <f>DEC2HEX(out_col0!A54)</f>
        <v>27E4</v>
      </c>
      <c r="B54" s="17" t="str">
        <f>DEC2HEX(out_col0!B54)</f>
        <v>6880</v>
      </c>
      <c r="C54" s="17" t="str">
        <f>DEC2HEX(out_col0!C54)</f>
        <v>5218</v>
      </c>
      <c r="D54" s="17" t="str">
        <f>DEC2HEX(out_col0!D54)</f>
        <v>24B6</v>
      </c>
      <c r="E54" s="30"/>
      <c r="F54" s="17" t="str">
        <f>DEC2HEX(out_col0!F54)</f>
        <v>10732</v>
      </c>
    </row>
    <row r="55" spans="1:9">
      <c r="A55" s="17" t="str">
        <f>DEC2HEX(out_col0!A55)</f>
        <v>D34D</v>
      </c>
      <c r="B55" s="17" t="str">
        <f>DEC2HEX(out_col0!B55)</f>
        <v>15C8</v>
      </c>
      <c r="C55" s="17" t="str">
        <f>DEC2HEX(out_col0!C55)</f>
        <v>1110</v>
      </c>
      <c r="D55" s="17" t="str">
        <f>DEC2HEX(out_col0!D55)</f>
        <v>C7B</v>
      </c>
      <c r="E55" s="30"/>
      <c r="F55" s="17" t="str">
        <f>DEC2HEX(out_col0!F55)</f>
        <v>106A0</v>
      </c>
    </row>
    <row r="56" spans="1:9">
      <c r="A56" s="18" t="str">
        <f>DEC2HEX(out_col0!A56)</f>
        <v>5F80</v>
      </c>
      <c r="B56" s="18" t="str">
        <f>DEC2HEX(out_col0!B56)</f>
        <v>3A8</v>
      </c>
      <c r="C56" s="18" t="str">
        <f>DEC2HEX(out_col0!C56)</f>
        <v>AC9</v>
      </c>
      <c r="D56" s="18" t="str">
        <f>DEC2HEX(out_col0!D56)</f>
        <v>498</v>
      </c>
      <c r="E56" s="30"/>
      <c r="F56" s="18" t="str">
        <f>DEC2HEX(out_col0!F56)</f>
        <v>7289</v>
      </c>
    </row>
    <row r="57" spans="1:9">
      <c r="A57" s="18" t="str">
        <f>DEC2HEX(out_col0!A57)</f>
        <v>17AF</v>
      </c>
      <c r="B57" s="18" t="str">
        <f>DEC2HEX(out_col0!B57)</f>
        <v>4051</v>
      </c>
      <c r="C57" s="18" t="str">
        <f>DEC2HEX(out_col0!C57)</f>
        <v>1B61</v>
      </c>
      <c r="D57" s="18" t="str">
        <f>DEC2HEX(out_col0!D57)</f>
        <v>3128</v>
      </c>
      <c r="E57" s="30"/>
      <c r="F57" s="18" t="str">
        <f>DEC2HEX(out_col0!F57)</f>
        <v>A489</v>
      </c>
    </row>
    <row r="58" spans="1:9">
      <c r="A58" s="18" t="str">
        <f>DEC2HEX(out_col0!A58)</f>
        <v>38B8</v>
      </c>
      <c r="B58" s="18" t="str">
        <f>DEC2HEX(out_col0!B58)</f>
        <v>12C0</v>
      </c>
      <c r="C58" s="18" t="str">
        <f>DEC2HEX(out_col0!C58)</f>
        <v>4DC6</v>
      </c>
      <c r="D58" s="18" t="str">
        <f>DEC2HEX(out_col0!D58)</f>
        <v>3334</v>
      </c>
      <c r="E58" s="30"/>
      <c r="F58" s="18" t="str">
        <f>DEC2HEX(out_col0!F58)</f>
        <v>CC72</v>
      </c>
    </row>
    <row r="59" spans="1:9">
      <c r="A59" s="18" t="str">
        <f>DEC2HEX(out_col0!A59)</f>
        <v>2D60</v>
      </c>
      <c r="B59" s="18" t="str">
        <f>DEC2HEX(out_col0!B59)</f>
        <v>6E4</v>
      </c>
      <c r="C59" s="18" t="str">
        <f>DEC2HEX(out_col0!C59)</f>
        <v>7AA8</v>
      </c>
      <c r="D59" s="18" t="str">
        <f>DEC2HEX(out_col0!D59)</f>
        <v>8765</v>
      </c>
      <c r="E59" s="30"/>
      <c r="F59" s="18" t="str">
        <f>DEC2HEX(out_col0!F59)</f>
        <v>13651</v>
      </c>
    </row>
    <row r="60" spans="1:9">
      <c r="A60" s="18" t="str">
        <f>DEC2HEX(out_col0!A60)</f>
        <v>A9D</v>
      </c>
      <c r="B60" s="18" t="str">
        <f>DEC2HEX(out_col0!B60)</f>
        <v>585C</v>
      </c>
      <c r="C60" s="18" t="str">
        <f>DEC2HEX(out_col0!C60)</f>
        <v>ADF0</v>
      </c>
      <c r="D60" s="18" t="str">
        <f>DEC2HEX(out_col0!D60)</f>
        <v>9840</v>
      </c>
      <c r="E60" s="31"/>
      <c r="F60" s="18" t="str">
        <f>DEC2HEX(out_col0!F60)</f>
        <v>1A929</v>
      </c>
    </row>
    <row r="61" spans="1:9">
      <c r="A61" s="17" t="str">
        <f>DEC2HEX(out_col0!A61)</f>
        <v>0</v>
      </c>
      <c r="B61" s="17" t="str">
        <f>DEC2HEX(out_col0!B61)</f>
        <v>232E</v>
      </c>
      <c r="C61" s="17" t="str">
        <f>DEC2HEX(out_col0!C61)</f>
        <v>47B</v>
      </c>
      <c r="D61" s="17" t="str">
        <f>DEC2HEX(out_col0!D61)</f>
        <v>14C</v>
      </c>
      <c r="E61" s="29"/>
      <c r="F61" s="17" t="str">
        <f>DEC2HEX(out_col0!F61)</f>
        <v>28F5</v>
      </c>
      <c r="G61" s="19"/>
      <c r="H61" s="23" t="str">
        <f>DEC2HEX(out_col0!H61)</f>
        <v>1</v>
      </c>
      <c r="I61" s="23" t="str">
        <f>DEC2HEX(out_col0!I61)</f>
        <v>21410</v>
      </c>
    </row>
    <row r="62" spans="1:9">
      <c r="A62" s="17" t="str">
        <f>DEC2HEX(out_col0!A62)</f>
        <v>8C78</v>
      </c>
      <c r="B62" s="17" t="str">
        <f>DEC2HEX(out_col0!B62)</f>
        <v>91</v>
      </c>
      <c r="C62" s="17" t="str">
        <f>DEC2HEX(out_col0!C62)</f>
        <v>8F2C</v>
      </c>
      <c r="D62" s="17" t="str">
        <f>DEC2HEX(out_col0!D62)</f>
        <v>13D4</v>
      </c>
      <c r="E62" s="30"/>
      <c r="F62" s="17" t="str">
        <f>DEC2HEX(out_col0!F62)</f>
        <v>13009</v>
      </c>
      <c r="H62" s="23" t="str">
        <f>DEC2HEX(out_col0!H62)</f>
        <v>2</v>
      </c>
      <c r="I62" s="23" t="str">
        <f>DEC2HEX(out_col0!I62)</f>
        <v>53ECC</v>
      </c>
    </row>
    <row r="63" spans="1:9">
      <c r="A63" s="17" t="str">
        <f>DEC2HEX(out_col0!A63)</f>
        <v>766B</v>
      </c>
      <c r="B63" s="17" t="str">
        <f>DEC2HEX(out_col0!B63)</f>
        <v>B3BA</v>
      </c>
      <c r="C63" s="17" t="str">
        <f>DEC2HEX(out_col0!C63)</f>
        <v>33E</v>
      </c>
      <c r="D63" s="17" t="str">
        <f>DEC2HEX(out_col0!D63)</f>
        <v>3288</v>
      </c>
      <c r="E63" s="30"/>
      <c r="F63" s="17" t="str">
        <f>DEC2HEX(out_col0!F63)</f>
        <v>15FEB</v>
      </c>
      <c r="H63" s="23" t="str">
        <f>DEC2HEX(out_col0!H63)</f>
        <v>3</v>
      </c>
      <c r="I63" s="23" t="str">
        <f>DEC2HEX(out_col0!I63)</f>
        <v>2C175</v>
      </c>
    </row>
    <row r="64" spans="1:9">
      <c r="A64" s="17" t="str">
        <f>DEC2HEX(out_col0!A64)</f>
        <v>89F7</v>
      </c>
      <c r="B64" s="17" t="str">
        <f>DEC2HEX(out_col0!B64)</f>
        <v>4BF</v>
      </c>
      <c r="C64" s="17" t="str">
        <f>DEC2HEX(out_col0!C64)</f>
        <v>3258</v>
      </c>
      <c r="D64" s="17" t="str">
        <f>DEC2HEX(out_col0!D64)</f>
        <v>88B</v>
      </c>
      <c r="E64" s="30"/>
      <c r="F64" s="17" t="str">
        <f>DEC2HEX(out_col0!F64)</f>
        <v>C999</v>
      </c>
      <c r="H64" s="23" t="str">
        <f>DEC2HEX(out_col0!H64)</f>
        <v>4</v>
      </c>
      <c r="I64" s="23" t="str">
        <f>DEC2HEX(out_col0!I64)</f>
        <v>3E7C3</v>
      </c>
    </row>
    <row r="65" spans="1:9">
      <c r="A65" s="17" t="str">
        <f>DEC2HEX(out_col0!A65)</f>
        <v>BBB9</v>
      </c>
      <c r="B65" s="17" t="str">
        <f>DEC2HEX(out_col0!B65)</f>
        <v>5E56</v>
      </c>
      <c r="C65" s="17" t="str">
        <f>DEC2HEX(out_col0!C65)</f>
        <v>F00</v>
      </c>
      <c r="D65" s="17" t="str">
        <f>DEC2HEX(out_col0!D65)</f>
        <v>2958</v>
      </c>
      <c r="E65" s="30"/>
      <c r="F65" s="17" t="str">
        <f>DEC2HEX(out_col0!F65)</f>
        <v>15267</v>
      </c>
      <c r="H65" s="23" t="str">
        <f>DEC2HEX(out_col0!H65)</f>
        <v>5</v>
      </c>
      <c r="I65" s="23" t="str">
        <f>DEC2HEX(out_col0!I65)</f>
        <v>60FA2</v>
      </c>
    </row>
    <row r="66" spans="1:9">
      <c r="A66" s="18" t="str">
        <f>DEC2HEX(out_col0!A66)</f>
        <v>65B8</v>
      </c>
      <c r="B66" s="18" t="str">
        <f>DEC2HEX(out_col0!B66)</f>
        <v>1980</v>
      </c>
      <c r="C66" s="18" t="str">
        <f>DEC2HEX(out_col0!C66)</f>
        <v>448E</v>
      </c>
      <c r="D66" s="18" t="str">
        <f>DEC2HEX(out_col0!D66)</f>
        <v>1E51</v>
      </c>
      <c r="E66" s="30"/>
      <c r="F66" s="18" t="str">
        <f>DEC2HEX(out_col0!F66)</f>
        <v>E217</v>
      </c>
      <c r="H66" s="23" t="s">
        <v>6</v>
      </c>
      <c r="I66" s="23" t="str">
        <f>DEC2HEX(out_col0!I66)</f>
        <v>140BB6</v>
      </c>
    </row>
    <row r="67" spans="1:9">
      <c r="A67" s="18" t="str">
        <f>DEC2HEX(out_col0!A67)</f>
        <v>4E36</v>
      </c>
      <c r="B67" s="18" t="str">
        <f>DEC2HEX(out_col0!B67)</f>
        <v>5079</v>
      </c>
      <c r="C67" s="18" t="str">
        <f>DEC2HEX(out_col0!C67)</f>
        <v>42EF</v>
      </c>
      <c r="D67" s="18" t="str">
        <f>DEC2HEX(out_col0!D67)</f>
        <v>C2E8</v>
      </c>
      <c r="E67" s="30"/>
      <c r="F67" s="18" t="str">
        <f>DEC2HEX(out_col0!F67)</f>
        <v>1A486</v>
      </c>
    </row>
    <row r="68" spans="1:9">
      <c r="A68" s="18" t="str">
        <f>DEC2HEX(out_col0!A68)</f>
        <v>3396</v>
      </c>
      <c r="B68" s="18" t="str">
        <f>DEC2HEX(out_col0!B68)</f>
        <v>46E</v>
      </c>
      <c r="C68" s="18" t="str">
        <f>DEC2HEX(out_col0!C68)</f>
        <v>3458</v>
      </c>
      <c r="D68" s="18" t="str">
        <f>DEC2HEX(out_col0!D68)</f>
        <v>1125</v>
      </c>
      <c r="E68" s="30"/>
      <c r="F68" s="18" t="str">
        <f>DEC2HEX(out_col0!F68)</f>
        <v>7D81</v>
      </c>
    </row>
    <row r="69" spans="1:9">
      <c r="A69" s="18" t="str">
        <f>DEC2HEX(out_col0!A69)</f>
        <v>2D3C</v>
      </c>
      <c r="B69" s="18" t="str">
        <f>DEC2HEX(out_col0!B69)</f>
        <v>135F</v>
      </c>
      <c r="C69" s="18" t="str">
        <f>DEC2HEX(out_col0!C69)</f>
        <v>4D84</v>
      </c>
      <c r="D69" s="18" t="str">
        <f>DEC2HEX(out_col0!D69)</f>
        <v>18AE</v>
      </c>
      <c r="E69" s="30"/>
      <c r="F69" s="18" t="str">
        <f>DEC2HEX(out_col0!F69)</f>
        <v>A6CD</v>
      </c>
    </row>
    <row r="70" spans="1:9">
      <c r="A70" s="18" t="str">
        <f>DEC2HEX(out_col0!A70)</f>
        <v>80BC</v>
      </c>
      <c r="B70" s="18" t="str">
        <f>DEC2HEX(out_col0!B70)</f>
        <v>BE41</v>
      </c>
      <c r="C70" s="18" t="str">
        <f>DEC2HEX(out_col0!C70)</f>
        <v>81</v>
      </c>
      <c r="D70" s="18" t="str">
        <f>DEC2HEX(out_col0!D70)</f>
        <v>7300</v>
      </c>
      <c r="E70" s="30"/>
      <c r="F70" s="18" t="str">
        <f>DEC2HEX(out_col0!F70)</f>
        <v>1B27E</v>
      </c>
    </row>
    <row r="71" spans="1:9">
      <c r="A71" s="17" t="str">
        <f>DEC2HEX(out_col0!A71)</f>
        <v>147E</v>
      </c>
      <c r="B71" s="17" t="str">
        <f>DEC2HEX(out_col0!B71)</f>
        <v>48</v>
      </c>
      <c r="C71" s="17" t="str">
        <f>DEC2HEX(out_col0!C71)</f>
        <v>180C</v>
      </c>
      <c r="D71" s="17" t="str">
        <f>DEC2HEX(out_col0!D71)</f>
        <v>6CD7</v>
      </c>
      <c r="E71" s="30"/>
      <c r="F71" s="17" t="str">
        <f>DEC2HEX(out_col0!F71)</f>
        <v>99A9</v>
      </c>
    </row>
    <row r="72" spans="1:9">
      <c r="A72" s="17" t="str">
        <f>DEC2HEX(out_col0!A72)</f>
        <v>3060</v>
      </c>
      <c r="B72" s="17" t="str">
        <f>DEC2HEX(out_col0!B72)</f>
        <v>1F82</v>
      </c>
      <c r="C72" s="17" t="str">
        <f>DEC2HEX(out_col0!C72)</f>
        <v>398C</v>
      </c>
      <c r="D72" s="17" t="str">
        <f>DEC2HEX(out_col0!D72)</f>
        <v>5AB3</v>
      </c>
      <c r="E72" s="30"/>
      <c r="F72" s="17" t="str">
        <f>DEC2HEX(out_col0!F72)</f>
        <v>E421</v>
      </c>
    </row>
    <row r="73" spans="1:9">
      <c r="A73" s="17" t="str">
        <f>DEC2HEX(out_col0!A73)</f>
        <v>159A</v>
      </c>
      <c r="B73" s="17" t="str">
        <f>DEC2HEX(out_col0!B73)</f>
        <v>1CC0</v>
      </c>
      <c r="C73" s="17" t="str">
        <f>DEC2HEX(out_col0!C73)</f>
        <v>11C6</v>
      </c>
      <c r="D73" s="17" t="str">
        <f>DEC2HEX(out_col0!D73)</f>
        <v>855</v>
      </c>
      <c r="E73" s="30"/>
      <c r="F73" s="17" t="str">
        <f>DEC2HEX(out_col0!F73)</f>
        <v>4C75</v>
      </c>
    </row>
    <row r="74" spans="1:9">
      <c r="A74" s="17" t="str">
        <f>DEC2HEX(out_col0!A74)</f>
        <v>80EC</v>
      </c>
      <c r="B74" s="17" t="str">
        <f>DEC2HEX(out_col0!B74)</f>
        <v>3B60</v>
      </c>
      <c r="C74" s="17" t="str">
        <f>DEC2HEX(out_col0!C74)</f>
        <v>8F60</v>
      </c>
      <c r="D74" s="17" t="str">
        <f>DEC2HEX(out_col0!D74)</f>
        <v>186D</v>
      </c>
      <c r="E74" s="30"/>
      <c r="F74" s="17" t="str">
        <f>DEC2HEX(out_col0!F74)</f>
        <v>16419</v>
      </c>
    </row>
    <row r="75" spans="1:9">
      <c r="A75" s="17" t="str">
        <f>DEC2HEX(out_col0!A75)</f>
        <v>A9D0</v>
      </c>
      <c r="B75" s="17" t="str">
        <f>DEC2HEX(out_col0!B75)</f>
        <v>7CEC</v>
      </c>
      <c r="C75" s="17" t="str">
        <f>DEC2HEX(out_col0!C75)</f>
        <v>F63</v>
      </c>
      <c r="D75" s="17" t="str">
        <f>DEC2HEX(out_col0!D75)</f>
        <v>B562</v>
      </c>
      <c r="E75" s="30"/>
      <c r="F75" s="17" t="str">
        <f>DEC2HEX(out_col0!F75)</f>
        <v>1EB81</v>
      </c>
    </row>
    <row r="76" spans="1:9">
      <c r="A76" s="18" t="str">
        <f>DEC2HEX(out_col0!A76)</f>
        <v>49DD</v>
      </c>
      <c r="B76" s="18" t="str">
        <f>DEC2HEX(out_col0!B76)</f>
        <v>3A8</v>
      </c>
      <c r="C76" s="18" t="str">
        <f>DEC2HEX(out_col0!C76)</f>
        <v>3DE</v>
      </c>
      <c r="D76" s="18" t="str">
        <f>DEC2HEX(out_col0!D76)</f>
        <v>1DF8</v>
      </c>
      <c r="E76" s="30"/>
      <c r="F76" s="18" t="str">
        <f>DEC2HEX(out_col0!F76)</f>
        <v>6F5B</v>
      </c>
    </row>
    <row r="77" spans="1:9">
      <c r="A77" s="18" t="str">
        <f>DEC2HEX(out_col0!A77)</f>
        <v>5F3D</v>
      </c>
      <c r="B77" s="18" t="str">
        <f>DEC2HEX(out_col0!B77)</f>
        <v>54D4</v>
      </c>
      <c r="C77" s="18" t="str">
        <f>DEC2HEX(out_col0!C77)</f>
        <v>9CA2</v>
      </c>
      <c r="D77" s="18" t="str">
        <f>DEC2HEX(out_col0!D77)</f>
        <v>3569</v>
      </c>
      <c r="E77" s="30"/>
      <c r="F77" s="18" t="str">
        <f>DEC2HEX(out_col0!F77)</f>
        <v>1861C</v>
      </c>
    </row>
    <row r="78" spans="1:9">
      <c r="A78" s="18" t="str">
        <f>DEC2HEX(out_col0!A78)</f>
        <v>1EF0</v>
      </c>
      <c r="B78" s="18" t="str">
        <f>DEC2HEX(out_col0!B78)</f>
        <v>E10</v>
      </c>
      <c r="C78" s="18" t="str">
        <f>DEC2HEX(out_col0!C78)</f>
        <v>59CE</v>
      </c>
      <c r="D78" s="18" t="str">
        <f>DEC2HEX(out_col0!D78)</f>
        <v>10C6</v>
      </c>
      <c r="E78" s="30"/>
      <c r="F78" s="18" t="str">
        <f>DEC2HEX(out_col0!F78)</f>
        <v>9794</v>
      </c>
    </row>
    <row r="79" spans="1:9">
      <c r="A79" s="18" t="str">
        <f>DEC2HEX(out_col0!A79)</f>
        <v>7278</v>
      </c>
      <c r="B79" s="18" t="str">
        <f>DEC2HEX(out_col0!B79)</f>
        <v>4FA</v>
      </c>
      <c r="C79" s="18" t="str">
        <f>DEC2HEX(out_col0!C79)</f>
        <v>40D8</v>
      </c>
      <c r="D79" s="18" t="str">
        <f>DEC2HEX(out_col0!D79)</f>
        <v>5AFA</v>
      </c>
      <c r="E79" s="30"/>
      <c r="F79" s="18" t="str">
        <f>DEC2HEX(out_col0!F79)</f>
        <v>11344</v>
      </c>
    </row>
    <row r="80" spans="1:9">
      <c r="A80" s="18" t="str">
        <f>DEC2HEX(out_col0!A80)</f>
        <v>64C</v>
      </c>
      <c r="B80" s="18" t="str">
        <f>DEC2HEX(out_col0!B80)</f>
        <v>3E28</v>
      </c>
      <c r="C80" s="18" t="str">
        <f>DEC2HEX(out_col0!C80)</f>
        <v>3F40</v>
      </c>
      <c r="D80" s="18" t="str">
        <f>DEC2HEX(out_col0!D80)</f>
        <v>9B88</v>
      </c>
      <c r="E80" s="31"/>
      <c r="F80" s="18" t="str">
        <f>DEC2HEX(out_col0!F80)</f>
        <v>11F3C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655-1C82-4EE2-8B9E-D0B27E1AE275}">
  <sheetPr codeName="Foglio3"/>
  <dimension ref="A1:I80"/>
  <sheetViews>
    <sheetView workbookViewId="0">
      <selection activeCell="A16" sqref="A16"/>
    </sheetView>
  </sheetViews>
  <sheetFormatPr defaultRowHeight="14.25"/>
  <sheetData>
    <row r="1" spans="1:9">
      <c r="A1" s="17">
        <f>mem_dec!A1*mem_dec!A82</f>
        <v>8525</v>
      </c>
      <c r="B1" s="17">
        <f>mem_dec!B1*mem_dec!B82</f>
        <v>246</v>
      </c>
      <c r="C1" s="17">
        <f>mem_dec!C1*mem_dec!C82</f>
        <v>11242</v>
      </c>
      <c r="D1" s="17">
        <f>mem_dec!D1*mem_dec!D82</f>
        <v>4042</v>
      </c>
      <c r="E1" s="28"/>
      <c r="F1" s="17">
        <f>SUM(A1:D1)</f>
        <v>24055</v>
      </c>
      <c r="H1" s="23">
        <v>1</v>
      </c>
      <c r="I1" s="23">
        <f>F1+F6+F11+F16</f>
        <v>184341</v>
      </c>
    </row>
    <row r="2" spans="1:9">
      <c r="A2" s="17">
        <f>mem_dec!A2*mem_dec!A83</f>
        <v>14190</v>
      </c>
      <c r="B2" s="17">
        <f>mem_dec!B2*mem_dec!B83</f>
        <v>45365</v>
      </c>
      <c r="C2" s="17">
        <f>mem_dec!C2*mem_dec!C83</f>
        <v>850</v>
      </c>
      <c r="D2" s="17">
        <f>mem_dec!D2*mem_dec!D83</f>
        <v>12768</v>
      </c>
      <c r="E2" s="28"/>
      <c r="F2" s="17">
        <f t="shared" ref="F2:F65" si="0">SUM(A2:D2)</f>
        <v>73173</v>
      </c>
      <c r="H2" s="23">
        <v>2</v>
      </c>
      <c r="I2" s="23">
        <f>F2+F7+F12+F17</f>
        <v>237443</v>
      </c>
    </row>
    <row r="3" spans="1:9">
      <c r="A3" s="17">
        <f>mem_dec!A3*mem_dec!A84</f>
        <v>36234</v>
      </c>
      <c r="B3" s="17">
        <f>mem_dec!B3*mem_dec!B84</f>
        <v>295</v>
      </c>
      <c r="C3" s="17">
        <f>mem_dec!C3*mem_dec!C84</f>
        <v>15552</v>
      </c>
      <c r="D3" s="17">
        <f>mem_dec!D3*mem_dec!D84</f>
        <v>3699</v>
      </c>
      <c r="E3" s="28"/>
      <c r="F3" s="17">
        <f t="shared" si="0"/>
        <v>55780</v>
      </c>
      <c r="H3" s="23">
        <v>3</v>
      </c>
      <c r="I3" s="23">
        <f>F3+F8+F13+F18</f>
        <v>232931</v>
      </c>
    </row>
    <row r="4" spans="1:9">
      <c r="A4" s="17">
        <f>mem_dec!A4*mem_dec!A85</f>
        <v>249</v>
      </c>
      <c r="B4" s="17">
        <f>mem_dec!B4*mem_dec!B85</f>
        <v>7728</v>
      </c>
      <c r="C4" s="17">
        <f>mem_dec!C4*mem_dec!C85</f>
        <v>4950</v>
      </c>
      <c r="D4" s="17">
        <f>mem_dec!D4*mem_dec!D85</f>
        <v>34560</v>
      </c>
      <c r="E4" s="28"/>
      <c r="F4" s="17">
        <f t="shared" si="0"/>
        <v>47487</v>
      </c>
      <c r="H4" s="23">
        <v>4</v>
      </c>
      <c r="I4" s="23">
        <f>F4+F9+F14+F19</f>
        <v>329766</v>
      </c>
    </row>
    <row r="5" spans="1:9">
      <c r="A5" s="17">
        <f>mem_dec!A5*mem_dec!A86</f>
        <v>1403</v>
      </c>
      <c r="B5" s="17">
        <f>mem_dec!B5*mem_dec!B86</f>
        <v>13464</v>
      </c>
      <c r="C5" s="17">
        <f>mem_dec!C5*mem_dec!C86</f>
        <v>12120</v>
      </c>
      <c r="D5" s="17">
        <f>mem_dec!D5*mem_dec!D86</f>
        <v>11180</v>
      </c>
      <c r="E5" s="28"/>
      <c r="F5" s="17">
        <f t="shared" si="0"/>
        <v>38167</v>
      </c>
      <c r="H5" s="23">
        <v>5</v>
      </c>
      <c r="I5" s="23">
        <f>F5+F10+F15+F20</f>
        <v>162209</v>
      </c>
    </row>
    <row r="6" spans="1:9">
      <c r="A6" s="18">
        <f>mem_dec!A6*mem_dec!A90</f>
        <v>639</v>
      </c>
      <c r="B6" s="18">
        <f>mem_dec!B6*mem_dec!B90</f>
        <v>10355</v>
      </c>
      <c r="C6" s="18">
        <f>mem_dec!C6*mem_dec!C90</f>
        <v>36654</v>
      </c>
      <c r="D6" s="18">
        <f>mem_dec!D6*mem_dec!D90</f>
        <v>33495</v>
      </c>
      <c r="E6" s="28"/>
      <c r="F6" s="18">
        <f t="shared" si="0"/>
        <v>81143</v>
      </c>
      <c r="H6" s="23" t="s">
        <v>6</v>
      </c>
      <c r="I6" s="23">
        <f>SUM(I1:I5)</f>
        <v>1146690</v>
      </c>
    </row>
    <row r="7" spans="1:9">
      <c r="A7" s="18">
        <f>mem_dec!A7*mem_dec!A91</f>
        <v>25560</v>
      </c>
      <c r="B7" s="18">
        <f>mem_dec!B7*mem_dec!B91</f>
        <v>2268</v>
      </c>
      <c r="C7" s="18">
        <f>mem_dec!C7*mem_dec!C91</f>
        <v>12300</v>
      </c>
      <c r="D7" s="18">
        <f>mem_dec!D7*mem_dec!D91</f>
        <v>48697</v>
      </c>
      <c r="E7" s="28"/>
      <c r="F7" s="18">
        <f t="shared" si="0"/>
        <v>88825</v>
      </c>
    </row>
    <row r="8" spans="1:9">
      <c r="A8" s="18">
        <f>mem_dec!A8*mem_dec!A92</f>
        <v>49022</v>
      </c>
      <c r="B8" s="18">
        <f>mem_dec!B8*mem_dec!B92</f>
        <v>754</v>
      </c>
      <c r="C8" s="18">
        <f>mem_dec!C8*mem_dec!C92</f>
        <v>32428</v>
      </c>
      <c r="D8" s="18">
        <f>mem_dec!D8*mem_dec!D92</f>
        <v>8478</v>
      </c>
      <c r="E8" s="28"/>
      <c r="F8" s="18">
        <f t="shared" si="0"/>
        <v>90682</v>
      </c>
    </row>
    <row r="9" spans="1:9">
      <c r="A9" s="18">
        <f>mem_dec!A9*mem_dec!A93</f>
        <v>50076</v>
      </c>
      <c r="B9" s="18">
        <f>mem_dec!B9*mem_dec!B93</f>
        <v>25245</v>
      </c>
      <c r="C9" s="18">
        <f>mem_dec!C9*mem_dec!C93</f>
        <v>7783</v>
      </c>
      <c r="D9" s="18">
        <f>mem_dec!D9*mem_dec!D93</f>
        <v>11040</v>
      </c>
      <c r="E9" s="28"/>
      <c r="F9" s="18">
        <f t="shared" si="0"/>
        <v>94144</v>
      </c>
    </row>
    <row r="10" spans="1:9">
      <c r="A10" s="18">
        <f>mem_dec!A10*mem_dec!A94</f>
        <v>2665</v>
      </c>
      <c r="B10" s="18">
        <f>mem_dec!B10*mem_dec!B94</f>
        <v>3300</v>
      </c>
      <c r="C10" s="18">
        <f>mem_dec!C10*mem_dec!C94</f>
        <v>11544</v>
      </c>
      <c r="D10" s="18">
        <f>mem_dec!D10*mem_dec!D94</f>
        <v>1083</v>
      </c>
      <c r="E10" s="28"/>
      <c r="F10" s="18">
        <f t="shared" si="0"/>
        <v>18592</v>
      </c>
    </row>
    <row r="11" spans="1:9">
      <c r="A11" s="17">
        <f>mem_dec!A11*mem_dec!A98</f>
        <v>4464</v>
      </c>
      <c r="B11" s="17">
        <f>mem_dec!B11*mem_dec!B98</f>
        <v>2923</v>
      </c>
      <c r="C11" s="17">
        <f>mem_dec!C11*mem_dec!C98</f>
        <v>1044</v>
      </c>
      <c r="D11" s="17">
        <f>mem_dec!D11*mem_dec!D98</f>
        <v>15407</v>
      </c>
      <c r="E11" s="28"/>
      <c r="F11" s="17">
        <f t="shared" si="0"/>
        <v>23838</v>
      </c>
    </row>
    <row r="12" spans="1:9">
      <c r="A12" s="17">
        <f>mem_dec!A12*mem_dec!A99</f>
        <v>8260</v>
      </c>
      <c r="B12" s="17">
        <f>mem_dec!B12*mem_dec!B99</f>
        <v>9246</v>
      </c>
      <c r="C12" s="17">
        <f>mem_dec!C12*mem_dec!C99</f>
        <v>546</v>
      </c>
      <c r="D12" s="17">
        <f>mem_dec!D12*mem_dec!D99</f>
        <v>2376</v>
      </c>
      <c r="E12" s="28"/>
      <c r="F12" s="17">
        <f t="shared" si="0"/>
        <v>20428</v>
      </c>
    </row>
    <row r="13" spans="1:9">
      <c r="A13" s="17">
        <f>mem_dec!A13*mem_dec!A100</f>
        <v>25604</v>
      </c>
      <c r="B13" s="17">
        <f>mem_dec!B13*mem_dec!B100</f>
        <v>10032</v>
      </c>
      <c r="C13" s="17">
        <f>mem_dec!C13*mem_dec!C100</f>
        <v>5180</v>
      </c>
      <c r="D13" s="17">
        <f>mem_dec!D13*mem_dec!D100</f>
        <v>6734</v>
      </c>
      <c r="E13" s="28"/>
      <c r="F13" s="17">
        <f t="shared" si="0"/>
        <v>47550</v>
      </c>
    </row>
    <row r="14" spans="1:9">
      <c r="A14" s="17">
        <f>mem_dec!A14*mem_dec!A101</f>
        <v>45201</v>
      </c>
      <c r="B14" s="17">
        <f>mem_dec!B14*mem_dec!B101</f>
        <v>3936</v>
      </c>
      <c r="C14" s="17">
        <f>mem_dec!C14*mem_dec!C101</f>
        <v>4485</v>
      </c>
      <c r="D14" s="17">
        <f>mem_dec!D14*mem_dec!D101</f>
        <v>45582</v>
      </c>
      <c r="E14" s="28"/>
      <c r="F14" s="17">
        <f t="shared" si="0"/>
        <v>99204</v>
      </c>
    </row>
    <row r="15" spans="1:9">
      <c r="A15" s="17">
        <f>mem_dec!A15*mem_dec!A102</f>
        <v>720</v>
      </c>
      <c r="B15" s="17">
        <f>mem_dec!B15*mem_dec!B102</f>
        <v>24823</v>
      </c>
      <c r="C15" s="17">
        <f>mem_dec!C15*mem_dec!C102</f>
        <v>17161</v>
      </c>
      <c r="D15" s="17">
        <f>mem_dec!D15*mem_dec!D102</f>
        <v>21242</v>
      </c>
      <c r="E15" s="28"/>
      <c r="F15" s="17">
        <f t="shared" si="0"/>
        <v>63946</v>
      </c>
    </row>
    <row r="16" spans="1:9">
      <c r="A16" s="18">
        <f>mem_dec!A16*mem_dec!A106</f>
        <v>387</v>
      </c>
      <c r="B16" s="18">
        <f>mem_dec!B16*mem_dec!B106</f>
        <v>19669</v>
      </c>
      <c r="C16" s="18">
        <f>mem_dec!C16*mem_dec!C106</f>
        <v>7661</v>
      </c>
      <c r="D16" s="18">
        <f>mem_dec!D16*mem_dec!D106</f>
        <v>27588</v>
      </c>
      <c r="E16" s="28"/>
      <c r="F16" s="18">
        <f t="shared" si="0"/>
        <v>55305</v>
      </c>
    </row>
    <row r="17" spans="1:9">
      <c r="A17" s="18">
        <f>mem_dec!A17*mem_dec!A107</f>
        <v>1848</v>
      </c>
      <c r="B17" s="18">
        <f>mem_dec!B17*mem_dec!B107</f>
        <v>17200</v>
      </c>
      <c r="C17" s="18">
        <f>mem_dec!C17*mem_dec!C107</f>
        <v>15290</v>
      </c>
      <c r="D17" s="18">
        <f>mem_dec!D17*mem_dec!D107</f>
        <v>20679</v>
      </c>
      <c r="E17" s="28"/>
      <c r="F17" s="18">
        <f t="shared" si="0"/>
        <v>55017</v>
      </c>
    </row>
    <row r="18" spans="1:9">
      <c r="A18" s="18">
        <f>mem_dec!A18*mem_dec!A108</f>
        <v>12936</v>
      </c>
      <c r="B18" s="18">
        <f>mem_dec!B18*mem_dec!B108</f>
        <v>2884</v>
      </c>
      <c r="C18" s="18">
        <f>mem_dec!C18*mem_dec!C108</f>
        <v>19400</v>
      </c>
      <c r="D18" s="18">
        <f>mem_dec!D18*mem_dec!D108</f>
        <v>3699</v>
      </c>
      <c r="E18" s="28"/>
      <c r="F18" s="18">
        <f t="shared" si="0"/>
        <v>38919</v>
      </c>
    </row>
    <row r="19" spans="1:9">
      <c r="A19" s="18">
        <f>mem_dec!A19*mem_dec!A109</f>
        <v>3224</v>
      </c>
      <c r="B19" s="18">
        <f>mem_dec!B19*mem_dec!B109</f>
        <v>18252</v>
      </c>
      <c r="C19" s="18">
        <f>mem_dec!C19*mem_dec!C109</f>
        <v>43263</v>
      </c>
      <c r="D19" s="18">
        <f>mem_dec!D19*mem_dec!D109</f>
        <v>24192</v>
      </c>
      <c r="E19" s="28"/>
      <c r="F19" s="18">
        <f t="shared" si="0"/>
        <v>88931</v>
      </c>
    </row>
    <row r="20" spans="1:9">
      <c r="A20" s="18">
        <f>mem_dec!A20*mem_dec!A110</f>
        <v>14310</v>
      </c>
      <c r="B20" s="18">
        <f>mem_dec!B20*mem_dec!B110</f>
        <v>18164</v>
      </c>
      <c r="C20" s="18">
        <f>mem_dec!C20*mem_dec!C110</f>
        <v>7104</v>
      </c>
      <c r="D20" s="18">
        <f>mem_dec!D20*mem_dec!D110</f>
        <v>1926</v>
      </c>
      <c r="E20" s="28"/>
      <c r="F20" s="18">
        <f t="shared" si="0"/>
        <v>41504</v>
      </c>
    </row>
    <row r="21" spans="1:9">
      <c r="A21" s="17">
        <f>mem_dec!A21*mem_dec!A81</f>
        <v>0</v>
      </c>
      <c r="B21" s="17">
        <f>mem_dec!B21*mem_dec!B81</f>
        <v>7220</v>
      </c>
      <c r="C21" s="17">
        <f>mem_dec!C21*mem_dec!C81</f>
        <v>6789</v>
      </c>
      <c r="D21" s="17">
        <f>mem_dec!D21*mem_dec!D81</f>
        <v>4648</v>
      </c>
      <c r="E21" s="29"/>
      <c r="F21" s="17">
        <f t="shared" si="0"/>
        <v>18657</v>
      </c>
      <c r="G21" s="20"/>
      <c r="H21" s="23">
        <v>1</v>
      </c>
      <c r="I21" s="23">
        <f>F21+F26+F31+F36</f>
        <v>130674</v>
      </c>
    </row>
    <row r="22" spans="1:9">
      <c r="A22" s="17">
        <f>mem_dec!A22*mem_dec!A82</f>
        <v>24335</v>
      </c>
      <c r="B22" s="17">
        <f>mem_dec!B22*mem_dec!B82</f>
        <v>1</v>
      </c>
      <c r="C22" s="17">
        <f>mem_dec!C22*mem_dec!C82</f>
        <v>33264</v>
      </c>
      <c r="D22" s="17">
        <f>mem_dec!D22*mem_dec!D82</f>
        <v>3995</v>
      </c>
      <c r="E22" s="30"/>
      <c r="F22" s="17">
        <f t="shared" si="0"/>
        <v>61595</v>
      </c>
      <c r="H22" s="23">
        <v>2</v>
      </c>
      <c r="I22" s="23">
        <f>F22+F27+F32+F37</f>
        <v>295714</v>
      </c>
    </row>
    <row r="23" spans="1:9">
      <c r="A23" s="17">
        <f>mem_dec!A23*mem_dec!A83</f>
        <v>19737</v>
      </c>
      <c r="B23" s="17">
        <f>mem_dec!B23*mem_dec!B83</f>
        <v>31820</v>
      </c>
      <c r="C23" s="17">
        <f>mem_dec!C23*mem_dec!C83</f>
        <v>410</v>
      </c>
      <c r="D23" s="17">
        <f>mem_dec!D23*mem_dec!D83</f>
        <v>13020</v>
      </c>
      <c r="E23" s="30"/>
      <c r="F23" s="17">
        <f t="shared" si="0"/>
        <v>64987</v>
      </c>
      <c r="H23" s="23">
        <v>3</v>
      </c>
      <c r="I23" s="23">
        <f>F23+F28+F33+F38</f>
        <v>308447</v>
      </c>
    </row>
    <row r="24" spans="1:9">
      <c r="A24" s="17">
        <f>mem_dec!A24*mem_dec!A84</f>
        <v>13359</v>
      </c>
      <c r="B24" s="17">
        <f>mem_dec!B24*mem_dec!B84</f>
        <v>225</v>
      </c>
      <c r="C24" s="17">
        <f>mem_dec!C24*mem_dec!C84</f>
        <v>720</v>
      </c>
      <c r="D24" s="17">
        <f>mem_dec!D24*mem_dec!D84</f>
        <v>5940</v>
      </c>
      <c r="E24" s="30"/>
      <c r="F24" s="17">
        <f t="shared" si="0"/>
        <v>20244</v>
      </c>
      <c r="H24" s="23">
        <v>4</v>
      </c>
      <c r="I24" s="23">
        <f>F24+F29+F34+F39</f>
        <v>294664</v>
      </c>
    </row>
    <row r="25" spans="1:9">
      <c r="A25" s="17">
        <f>mem_dec!A25*mem_dec!A85</f>
        <v>55029</v>
      </c>
      <c r="B25" s="17">
        <f>mem_dec!B25*mem_dec!B85</f>
        <v>14973</v>
      </c>
      <c r="C25" s="17">
        <f>mem_dec!C25*mem_dec!C85</f>
        <v>4470</v>
      </c>
      <c r="D25" s="17">
        <f>mem_dec!D25*mem_dec!D85</f>
        <v>50544</v>
      </c>
      <c r="E25" s="30"/>
      <c r="F25" s="17">
        <f t="shared" si="0"/>
        <v>125016</v>
      </c>
      <c r="H25" s="23">
        <v>5</v>
      </c>
      <c r="I25" s="23">
        <f>F25+F30+F35+F40</f>
        <v>365190</v>
      </c>
    </row>
    <row r="26" spans="1:9">
      <c r="A26" s="18">
        <f>mem_dec!A26*mem_dec!A90</f>
        <v>25986</v>
      </c>
      <c r="B26" s="18">
        <f>mem_dec!B26*mem_dec!B90</f>
        <v>6213</v>
      </c>
      <c r="C26" s="18">
        <f>mem_dec!C26*mem_dec!C90</f>
        <v>13559</v>
      </c>
      <c r="D26" s="18">
        <f>mem_dec!D26*mem_dec!D90</f>
        <v>13167</v>
      </c>
      <c r="E26" s="30"/>
      <c r="F26" s="18">
        <f t="shared" si="0"/>
        <v>58925</v>
      </c>
      <c r="H26" s="23" t="s">
        <v>6</v>
      </c>
      <c r="I26" s="23">
        <f>SUM(I21:I25)</f>
        <v>1394689</v>
      </c>
    </row>
    <row r="27" spans="1:9">
      <c r="A27" s="18">
        <f>mem_dec!A27*mem_dec!A91</f>
        <v>52611</v>
      </c>
      <c r="B27" s="18">
        <f>mem_dec!B27*mem_dec!B91</f>
        <v>84</v>
      </c>
      <c r="C27" s="18">
        <f>mem_dec!C27*mem_dec!C91</f>
        <v>13900</v>
      </c>
      <c r="D27" s="18">
        <f>mem_dec!D27*mem_dec!D91</f>
        <v>48697</v>
      </c>
      <c r="E27" s="30"/>
      <c r="F27" s="18">
        <f t="shared" si="0"/>
        <v>115292</v>
      </c>
    </row>
    <row r="28" spans="1:9">
      <c r="A28" s="18">
        <f>mem_dec!A28*mem_dec!A92</f>
        <v>5597</v>
      </c>
      <c r="B28" s="18">
        <f>mem_dec!B28*mem_dec!B92</f>
        <v>5858</v>
      </c>
      <c r="C28" s="18">
        <f>mem_dec!C28*mem_dec!C92</f>
        <v>15972</v>
      </c>
      <c r="D28" s="18">
        <f>mem_dec!D28*mem_dec!D92</f>
        <v>5616</v>
      </c>
      <c r="E28" s="30"/>
      <c r="F28" s="18">
        <f t="shared" si="0"/>
        <v>33043</v>
      </c>
    </row>
    <row r="29" spans="1:9">
      <c r="A29" s="18">
        <f>mem_dec!A29*mem_dec!A93</f>
        <v>38948</v>
      </c>
      <c r="B29" s="18">
        <f>mem_dec!B29*mem_dec!B93</f>
        <v>42075</v>
      </c>
      <c r="C29" s="18">
        <f>mem_dec!C29*mem_dec!C93</f>
        <v>8041</v>
      </c>
      <c r="D29" s="18">
        <f>mem_dec!D29*mem_dec!D93</f>
        <v>34040</v>
      </c>
      <c r="E29" s="30"/>
      <c r="F29" s="18">
        <f t="shared" si="0"/>
        <v>123104</v>
      </c>
    </row>
    <row r="30" spans="1:9">
      <c r="A30" s="18">
        <f>mem_dec!A30*mem_dec!A94</f>
        <v>7257</v>
      </c>
      <c r="B30" s="18">
        <f>mem_dec!B30*mem_dec!B94</f>
        <v>54780</v>
      </c>
      <c r="C30" s="18">
        <f>mem_dec!C30*mem_dec!C94</f>
        <v>22776</v>
      </c>
      <c r="D30" s="18">
        <f>mem_dec!D30*mem_dec!D94</f>
        <v>4446</v>
      </c>
      <c r="E30" s="30"/>
      <c r="F30" s="18">
        <f t="shared" si="0"/>
        <v>89259</v>
      </c>
    </row>
    <row r="31" spans="1:9">
      <c r="A31" s="17">
        <f>mem_dec!A31*mem_dec!A99</f>
        <v>6580</v>
      </c>
      <c r="B31" s="17">
        <f>mem_dec!B31*mem_dec!B99</f>
        <v>9982</v>
      </c>
      <c r="C31" s="17">
        <f>mem_dec!C31*mem_dec!C99</f>
        <v>1534</v>
      </c>
      <c r="D31" s="17">
        <f>mem_dec!D31*mem_dec!D99</f>
        <v>5697</v>
      </c>
      <c r="E31" s="30"/>
      <c r="F31" s="17">
        <f t="shared" si="0"/>
        <v>23793</v>
      </c>
    </row>
    <row r="32" spans="1:9">
      <c r="A32" s="17">
        <f>mem_dec!A32*mem_dec!A100</f>
        <v>21608</v>
      </c>
      <c r="B32" s="17">
        <f>mem_dec!B32*mem_dec!B100</f>
        <v>17176</v>
      </c>
      <c r="C32" s="17">
        <f>mem_dec!C32*mem_dec!C100</f>
        <v>9028</v>
      </c>
      <c r="D32" s="17">
        <f>mem_dec!D32*mem_dec!D100</f>
        <v>5328</v>
      </c>
      <c r="E32" s="30"/>
      <c r="F32" s="17">
        <f t="shared" si="0"/>
        <v>53140</v>
      </c>
    </row>
    <row r="33" spans="1:9">
      <c r="A33" s="17">
        <f>mem_dec!A33*mem_dec!A101</f>
        <v>50141</v>
      </c>
      <c r="B33" s="17">
        <f>mem_dec!B33*mem_dec!B101</f>
        <v>38048</v>
      </c>
      <c r="C33" s="17">
        <f>mem_dec!C33*mem_dec!C101</f>
        <v>3900</v>
      </c>
      <c r="D33" s="17">
        <f>mem_dec!D33*mem_dec!D101</f>
        <v>35571</v>
      </c>
      <c r="E33" s="30"/>
      <c r="F33" s="17">
        <f t="shared" si="0"/>
        <v>127660</v>
      </c>
    </row>
    <row r="34" spans="1:9">
      <c r="A34" s="17">
        <f>mem_dec!A34*mem_dec!A102</f>
        <v>2800</v>
      </c>
      <c r="B34" s="17">
        <f>mem_dec!B34*mem_dec!B102</f>
        <v>54466</v>
      </c>
      <c r="C34" s="17">
        <f>mem_dec!C34*mem_dec!C102</f>
        <v>28165</v>
      </c>
      <c r="D34" s="17">
        <f>mem_dec!D34*mem_dec!D102</f>
        <v>19436</v>
      </c>
      <c r="E34" s="30"/>
      <c r="F34" s="17">
        <f t="shared" si="0"/>
        <v>104867</v>
      </c>
    </row>
    <row r="35" spans="1:9">
      <c r="A35" s="17">
        <f>mem_dec!A35*mem_dec!A103</f>
        <v>5580</v>
      </c>
      <c r="B35" s="17">
        <f>mem_dec!B35*mem_dec!B103</f>
        <v>49266</v>
      </c>
      <c r="C35" s="17">
        <f>mem_dec!C35*mem_dec!C103</f>
        <v>147</v>
      </c>
      <c r="D35" s="17">
        <f>mem_dec!D35*mem_dec!D103</f>
        <v>45760</v>
      </c>
      <c r="E35" s="30"/>
      <c r="F35" s="17">
        <f t="shared" si="0"/>
        <v>100753</v>
      </c>
    </row>
    <row r="36" spans="1:9">
      <c r="A36" s="18">
        <f>mem_dec!A36*mem_dec!A108</f>
        <v>6204</v>
      </c>
      <c r="B36" s="18">
        <f>mem_dec!B36*mem_dec!B108</f>
        <v>826</v>
      </c>
      <c r="C36" s="18">
        <f>mem_dec!C36*mem_dec!C108</f>
        <v>17200</v>
      </c>
      <c r="D36" s="18">
        <f>mem_dec!D36*mem_dec!D108</f>
        <v>5069</v>
      </c>
      <c r="E36" s="30"/>
      <c r="F36" s="18">
        <f t="shared" si="0"/>
        <v>29299</v>
      </c>
    </row>
    <row r="37" spans="1:9">
      <c r="A37" s="18">
        <f>mem_dec!A37*mem_dec!A109</f>
        <v>130</v>
      </c>
      <c r="B37" s="18">
        <f>mem_dec!B37*mem_dec!B109</f>
        <v>21372</v>
      </c>
      <c r="C37" s="18">
        <f>mem_dec!C37*mem_dec!C109</f>
        <v>21505</v>
      </c>
      <c r="D37" s="18">
        <f>mem_dec!D37*mem_dec!D109</f>
        <v>22680</v>
      </c>
      <c r="E37" s="30"/>
      <c r="F37" s="18">
        <f t="shared" si="0"/>
        <v>65687</v>
      </c>
    </row>
    <row r="38" spans="1:9">
      <c r="A38" s="18">
        <f>mem_dec!A38*mem_dec!A110</f>
        <v>1530</v>
      </c>
      <c r="B38" s="18">
        <f>mem_dec!B38*mem_dec!B110</f>
        <v>56165</v>
      </c>
      <c r="C38" s="18">
        <f>mem_dec!C38*mem_dec!C110</f>
        <v>8584</v>
      </c>
      <c r="D38" s="18">
        <f>mem_dec!D38*mem_dec!D110</f>
        <v>16478</v>
      </c>
      <c r="E38" s="30"/>
      <c r="F38" s="18">
        <f t="shared" si="0"/>
        <v>82757</v>
      </c>
    </row>
    <row r="39" spans="1:9">
      <c r="A39" s="18">
        <f>mem_dec!A39*mem_dec!A111</f>
        <v>3850</v>
      </c>
      <c r="B39" s="18">
        <f>mem_dec!B39*mem_dec!B111</f>
        <v>24780</v>
      </c>
      <c r="C39" s="18">
        <f>mem_dec!C39*mem_dec!C111</f>
        <v>10010</v>
      </c>
      <c r="D39" s="18">
        <f>mem_dec!D39*mem_dec!D111</f>
        <v>7809</v>
      </c>
      <c r="E39" s="30"/>
      <c r="F39" s="18">
        <f t="shared" si="0"/>
        <v>46449</v>
      </c>
    </row>
    <row r="40" spans="1:9">
      <c r="A40" s="18">
        <f>mem_dec!A40*mem_dec!A112</f>
        <v>3648</v>
      </c>
      <c r="B40" s="18">
        <f>mem_dec!B40*mem_dec!B112</f>
        <v>18249</v>
      </c>
      <c r="C40" s="18">
        <f>mem_dec!C40*mem_dec!C112</f>
        <v>22470</v>
      </c>
      <c r="D40" s="18">
        <f>mem_dec!D40*mem_dec!D112</f>
        <v>5795</v>
      </c>
      <c r="E40" s="31"/>
      <c r="F40" s="18">
        <f t="shared" si="0"/>
        <v>50162</v>
      </c>
    </row>
    <row r="41" spans="1:9">
      <c r="A41" s="17">
        <f>mem_dec!A41*mem_dec!A81</f>
        <v>0</v>
      </c>
      <c r="B41" s="17">
        <f>mem_dec!B41*mem_dec!B81</f>
        <v>380</v>
      </c>
      <c r="C41" s="17">
        <f>mem_dec!C41*mem_dec!C81</f>
        <v>7285</v>
      </c>
      <c r="D41" s="17">
        <f>mem_dec!D41*mem_dec!D81</f>
        <v>8881</v>
      </c>
      <c r="E41" s="29"/>
      <c r="F41" s="17">
        <f t="shared" si="0"/>
        <v>16546</v>
      </c>
      <c r="G41" s="20"/>
      <c r="H41" s="23">
        <v>1</v>
      </c>
      <c r="I41" s="23">
        <f>F41+F46+F51+F56</f>
        <v>160846</v>
      </c>
    </row>
    <row r="42" spans="1:9">
      <c r="A42" s="17">
        <f>mem_dec!A42*mem_dec!A82</f>
        <v>4650</v>
      </c>
      <c r="B42" s="17">
        <f>mem_dec!B42*mem_dec!B82</f>
        <v>49</v>
      </c>
      <c r="C42" s="17">
        <f>mem_dec!C42*mem_dec!C82</f>
        <v>26026</v>
      </c>
      <c r="D42" s="17">
        <f>mem_dec!D42*mem_dec!D82</f>
        <v>9118</v>
      </c>
      <c r="E42" s="30"/>
      <c r="F42" s="17">
        <f t="shared" si="0"/>
        <v>39843</v>
      </c>
      <c r="H42" s="23">
        <v>2</v>
      </c>
      <c r="I42" s="23">
        <f>F42+F47+F52+F57</f>
        <v>272578</v>
      </c>
    </row>
    <row r="43" spans="1:9">
      <c r="A43" s="17">
        <f>mem_dec!A43*mem_dec!A83</f>
        <v>12255</v>
      </c>
      <c r="B43" s="17">
        <f>mem_dec!B43*mem_dec!B83</f>
        <v>35045</v>
      </c>
      <c r="C43" s="17">
        <f>mem_dec!C43*mem_dec!C83</f>
        <v>355</v>
      </c>
      <c r="D43" s="17">
        <f>mem_dec!D43*mem_dec!D83</f>
        <v>18900</v>
      </c>
      <c r="E43" s="30"/>
      <c r="F43" s="17">
        <f t="shared" si="0"/>
        <v>66555</v>
      </c>
      <c r="H43" s="23">
        <v>3</v>
      </c>
      <c r="I43" s="23">
        <f>F43+F48+F53+F58</f>
        <v>265549</v>
      </c>
    </row>
    <row r="44" spans="1:9">
      <c r="A44" s="17">
        <f>mem_dec!A44*mem_dec!A84</f>
        <v>46299</v>
      </c>
      <c r="B44" s="17">
        <f>mem_dec!B44*mem_dec!B84</f>
        <v>1205</v>
      </c>
      <c r="C44" s="17">
        <f>mem_dec!C44*mem_dec!C84</f>
        <v>10656</v>
      </c>
      <c r="D44" s="17">
        <f>mem_dec!D44*mem_dec!D84</f>
        <v>1566</v>
      </c>
      <c r="E44" s="30"/>
      <c r="F44" s="17">
        <f t="shared" si="0"/>
        <v>59726</v>
      </c>
      <c r="H44" s="23">
        <v>4</v>
      </c>
      <c r="I44" s="23">
        <f>F44+F49+F54+F59</f>
        <v>310968</v>
      </c>
    </row>
    <row r="45" spans="1:9">
      <c r="A45" s="17">
        <f>mem_dec!A45*mem_dec!A85</f>
        <v>60258</v>
      </c>
      <c r="B45" s="17">
        <f>mem_dec!B45*mem_dec!B85</f>
        <v>38801</v>
      </c>
      <c r="C45" s="17">
        <f>mem_dec!C45*mem_dec!C85</f>
        <v>4350</v>
      </c>
      <c r="D45" s="17">
        <f>mem_dec!D45*mem_dec!D85</f>
        <v>54432</v>
      </c>
      <c r="E45" s="30"/>
      <c r="F45" s="17">
        <f t="shared" si="0"/>
        <v>157841</v>
      </c>
      <c r="H45" s="23">
        <v>5</v>
      </c>
      <c r="I45" s="23">
        <f>F45+F50+F55+F60</f>
        <v>367509</v>
      </c>
    </row>
    <row r="46" spans="1:9">
      <c r="A46" s="18">
        <f>mem_dec!A90*mem_dec!A46</f>
        <v>4260</v>
      </c>
      <c r="B46" s="18">
        <f>mem_dec!B90*mem_dec!B46</f>
        <v>23544</v>
      </c>
      <c r="C46" s="18">
        <f>mem_dec!C90*mem_dec!C46</f>
        <v>745</v>
      </c>
      <c r="D46" s="18">
        <f>mem_dec!D90*mem_dec!D46</f>
        <v>26796</v>
      </c>
      <c r="E46" s="30"/>
      <c r="F46" s="18">
        <f t="shared" si="0"/>
        <v>55345</v>
      </c>
      <c r="H46" s="23" t="s">
        <v>6</v>
      </c>
      <c r="I46" s="23">
        <f>SUM(I41:I45)</f>
        <v>1377450</v>
      </c>
    </row>
    <row r="47" spans="1:9">
      <c r="A47" s="18">
        <f>mem_dec!A91*mem_dec!A47</f>
        <v>50481</v>
      </c>
      <c r="B47" s="18">
        <f>mem_dec!B91*mem_dec!B47</f>
        <v>6174</v>
      </c>
      <c r="C47" s="18">
        <f>mem_dec!C91*mem_dec!C47</f>
        <v>3400</v>
      </c>
      <c r="D47" s="18">
        <f>mem_dec!D91*mem_dec!D47</f>
        <v>28006</v>
      </c>
      <c r="E47" s="30"/>
      <c r="F47" s="18">
        <f t="shared" si="0"/>
        <v>88061</v>
      </c>
    </row>
    <row r="48" spans="1:9">
      <c r="A48" s="18">
        <f>mem_dec!A92*mem_dec!A48</f>
        <v>25862</v>
      </c>
      <c r="B48" s="18">
        <f>mem_dec!B92*mem_dec!B48</f>
        <v>725</v>
      </c>
      <c r="C48" s="18">
        <f>mem_dec!C92*mem_dec!C48</f>
        <v>53240</v>
      </c>
      <c r="D48" s="18">
        <f>mem_dec!D92*mem_dec!D48</f>
        <v>594</v>
      </c>
      <c r="E48" s="30"/>
      <c r="F48" s="18">
        <f t="shared" si="0"/>
        <v>80421</v>
      </c>
    </row>
    <row r="49" spans="1:9">
      <c r="A49" s="18">
        <f>mem_dec!A93*mem_dec!A49</f>
        <v>33812</v>
      </c>
      <c r="B49" s="18">
        <f>mem_dec!B93*mem_dec!B49</f>
        <v>13770</v>
      </c>
      <c r="C49" s="18">
        <f>mem_dec!C93*mem_dec!C49</f>
        <v>6063</v>
      </c>
      <c r="D49" s="18">
        <f>mem_dec!D93*mem_dec!D49</f>
        <v>35650</v>
      </c>
      <c r="E49" s="30"/>
      <c r="F49" s="18">
        <f t="shared" si="0"/>
        <v>89295</v>
      </c>
    </row>
    <row r="50" spans="1:9">
      <c r="A50" s="18">
        <f>mem_dec!A94*mem_dec!A50</f>
        <v>4633</v>
      </c>
      <c r="B50" s="18">
        <f>mem_dec!B94*mem_dec!B50</f>
        <v>31900</v>
      </c>
      <c r="C50" s="18">
        <f>mem_dec!C94*mem_dec!C50</f>
        <v>7020</v>
      </c>
      <c r="D50" s="18">
        <f>mem_dec!D94*mem_dec!D50</f>
        <v>4104</v>
      </c>
      <c r="E50" s="30"/>
      <c r="F50" s="18">
        <f t="shared" si="0"/>
        <v>47657</v>
      </c>
    </row>
    <row r="51" spans="1:9">
      <c r="A51" s="17">
        <f>mem_dec!A51*mem_dec!A99</f>
        <v>6650</v>
      </c>
      <c r="B51" s="17">
        <f>mem_dec!B51*mem_dec!B99</f>
        <v>1748</v>
      </c>
      <c r="C51" s="17">
        <f>mem_dec!C51*mem_dec!C99</f>
        <v>4966</v>
      </c>
      <c r="D51" s="17">
        <f>mem_dec!D51*mem_dec!D99</f>
        <v>5562</v>
      </c>
      <c r="E51" s="30"/>
      <c r="F51" s="17">
        <f t="shared" si="0"/>
        <v>18926</v>
      </c>
    </row>
    <row r="52" spans="1:9">
      <c r="A52" s="17">
        <f>mem_dec!A52*mem_dec!A100</f>
        <v>26492</v>
      </c>
      <c r="B52" s="17">
        <f>mem_dec!B52*mem_dec!B100</f>
        <v>38456</v>
      </c>
      <c r="C52" s="17">
        <f>mem_dec!C52*mem_dec!C100</f>
        <v>16576</v>
      </c>
      <c r="D52" s="17">
        <f>mem_dec!D52*mem_dec!D100</f>
        <v>5328</v>
      </c>
      <c r="E52" s="30"/>
      <c r="F52" s="17">
        <f t="shared" si="0"/>
        <v>86852</v>
      </c>
    </row>
    <row r="53" spans="1:9">
      <c r="A53" s="17">
        <f>mem_dec!A53*mem_dec!A101</f>
        <v>19760</v>
      </c>
      <c r="B53" s="17">
        <f>mem_dec!B53*mem_dec!B101</f>
        <v>8200</v>
      </c>
      <c r="C53" s="17">
        <f>mem_dec!C53*mem_dec!C101</f>
        <v>1989</v>
      </c>
      <c r="D53" s="17">
        <f>mem_dec!D53*mem_dec!D101</f>
        <v>29820</v>
      </c>
      <c r="E53" s="30"/>
      <c r="F53" s="17">
        <f t="shared" si="0"/>
        <v>59769</v>
      </c>
    </row>
    <row r="54" spans="1:9">
      <c r="A54" s="17">
        <f>mem_dec!A54*mem_dec!A102</f>
        <v>1104</v>
      </c>
      <c r="B54" s="17">
        <f>mem_dec!B54*mem_dec!B102</f>
        <v>42416</v>
      </c>
      <c r="C54" s="17">
        <f>mem_dec!C54*mem_dec!C102</f>
        <v>18602</v>
      </c>
      <c r="D54" s="17">
        <f>mem_dec!D54*mem_dec!D102</f>
        <v>21844</v>
      </c>
      <c r="E54" s="30"/>
      <c r="F54" s="17">
        <f t="shared" si="0"/>
        <v>83966</v>
      </c>
    </row>
    <row r="55" spans="1:9">
      <c r="A55" s="17">
        <f>mem_dec!A55*mem_dec!A103</f>
        <v>40734</v>
      </c>
      <c r="B55" s="17">
        <f>mem_dec!B55*mem_dec!B103</f>
        <v>8092</v>
      </c>
      <c r="C55" s="17">
        <f>mem_dec!C55*mem_dec!C103</f>
        <v>112</v>
      </c>
      <c r="D55" s="17">
        <f>mem_dec!D55*mem_dec!D103</f>
        <v>3120</v>
      </c>
      <c r="E55" s="30"/>
      <c r="F55" s="17">
        <f t="shared" si="0"/>
        <v>52058</v>
      </c>
    </row>
    <row r="56" spans="1:9">
      <c r="A56" s="18">
        <f>mem_dec!A56*mem_dec!A108</f>
        <v>16896</v>
      </c>
      <c r="B56" s="18">
        <f>mem_dec!B56*mem_dec!B108</f>
        <v>56</v>
      </c>
      <c r="C56" s="18">
        <f>mem_dec!C56*mem_dec!C108</f>
        <v>50200</v>
      </c>
      <c r="D56" s="18">
        <f>mem_dec!D56*mem_dec!D108</f>
        <v>2877</v>
      </c>
      <c r="E56" s="30"/>
      <c r="F56" s="18">
        <f t="shared" si="0"/>
        <v>70029</v>
      </c>
    </row>
    <row r="57" spans="1:9">
      <c r="A57" s="18">
        <f>mem_dec!A57*mem_dec!A109</f>
        <v>611</v>
      </c>
      <c r="B57" s="18">
        <f>mem_dec!B57*mem_dec!B109</f>
        <v>28860</v>
      </c>
      <c r="C57" s="18">
        <f>mem_dec!C57*mem_dec!C109</f>
        <v>10879</v>
      </c>
      <c r="D57" s="18">
        <f>mem_dec!D57*mem_dec!D109</f>
        <v>17472</v>
      </c>
      <c r="E57" s="30"/>
      <c r="F57" s="18">
        <f t="shared" si="0"/>
        <v>57822</v>
      </c>
    </row>
    <row r="58" spans="1:9">
      <c r="A58" s="18">
        <f>mem_dec!A58*mem_dec!A110</f>
        <v>14850</v>
      </c>
      <c r="B58" s="18">
        <f>mem_dec!B58*mem_dec!B110</f>
        <v>5736</v>
      </c>
      <c r="C58" s="18">
        <f>mem_dec!C58*mem_dec!C110</f>
        <v>13394</v>
      </c>
      <c r="D58" s="18">
        <f>mem_dec!D58*mem_dec!D110</f>
        <v>24824</v>
      </c>
      <c r="E58" s="30"/>
      <c r="F58" s="18">
        <f t="shared" si="0"/>
        <v>58804</v>
      </c>
    </row>
    <row r="59" spans="1:9">
      <c r="A59" s="18">
        <f>mem_dec!A59*mem_dec!A111</f>
        <v>9680</v>
      </c>
      <c r="B59" s="18">
        <f>mem_dec!B59*mem_dec!B111</f>
        <v>13230</v>
      </c>
      <c r="C59" s="18">
        <f>mem_dec!C59*mem_dec!C111</f>
        <v>20410</v>
      </c>
      <c r="D59" s="18">
        <f>mem_dec!D59*mem_dec!D111</f>
        <v>34661</v>
      </c>
      <c r="E59" s="30"/>
      <c r="F59" s="18">
        <f t="shared" si="0"/>
        <v>77981</v>
      </c>
    </row>
    <row r="60" spans="1:9">
      <c r="A60" s="18">
        <f>mem_dec!A60*mem_dec!A112</f>
        <v>15884</v>
      </c>
      <c r="B60" s="18">
        <f>mem_dec!B60*mem_dec!B112</f>
        <v>34365</v>
      </c>
      <c r="C60" s="18">
        <f>mem_dec!C60*mem_dec!C112</f>
        <v>37664</v>
      </c>
      <c r="D60" s="18">
        <f>mem_dec!D60*mem_dec!D112</f>
        <v>22040</v>
      </c>
      <c r="E60" s="31"/>
      <c r="F60" s="18">
        <f t="shared" si="0"/>
        <v>109953</v>
      </c>
    </row>
    <row r="61" spans="1:9">
      <c r="A61" s="17">
        <f>mem_dec!A61*mem_dec!A82</f>
        <v>23560</v>
      </c>
      <c r="B61" s="17">
        <f>mem_dec!B61*mem_dec!B82</f>
        <v>237</v>
      </c>
      <c r="C61" s="17">
        <f>mem_dec!C61*mem_dec!C82</f>
        <v>5698</v>
      </c>
      <c r="D61" s="17">
        <f>mem_dec!D61*mem_dec!D82</f>
        <v>188</v>
      </c>
      <c r="E61" s="29"/>
      <c r="F61" s="24">
        <f t="shared" si="0"/>
        <v>29683</v>
      </c>
      <c r="G61" s="20"/>
      <c r="H61" s="23">
        <v>1</v>
      </c>
      <c r="I61" s="23">
        <f>F61+F66+F71+F76</f>
        <v>218287</v>
      </c>
    </row>
    <row r="62" spans="1:9">
      <c r="A62" s="17">
        <f>mem_dec!A62*mem_dec!A83</f>
        <v>29928</v>
      </c>
      <c r="B62" s="17">
        <f>mem_dec!B62*mem_dec!B83</f>
        <v>31175</v>
      </c>
      <c r="C62" s="17">
        <f>mem_dec!C62*mem_dec!C83</f>
        <v>1190</v>
      </c>
      <c r="D62" s="17">
        <f>mem_dec!D62*mem_dec!D83</f>
        <v>9072</v>
      </c>
      <c r="E62" s="30"/>
      <c r="F62" s="24">
        <f t="shared" si="0"/>
        <v>71365</v>
      </c>
      <c r="H62" s="23">
        <v>2</v>
      </c>
      <c r="I62" s="23">
        <f>F62+F67+F72+F77</f>
        <v>335091</v>
      </c>
    </row>
    <row r="63" spans="1:9">
      <c r="A63" s="17">
        <f>mem_dec!A63*mem_dec!A84</f>
        <v>43005</v>
      </c>
      <c r="B63" s="17">
        <f>mem_dec!B63*mem_dec!B84</f>
        <v>1070</v>
      </c>
      <c r="C63" s="17">
        <f>mem_dec!C63*mem_dec!C84</f>
        <v>11952</v>
      </c>
      <c r="D63" s="17">
        <f>mem_dec!D63*mem_dec!D84</f>
        <v>4158</v>
      </c>
      <c r="E63" s="30"/>
      <c r="F63" s="24">
        <f t="shared" si="0"/>
        <v>60185</v>
      </c>
      <c r="H63" s="23">
        <v>3</v>
      </c>
      <c r="I63" s="23">
        <f>F63+F68+F73+F78</f>
        <v>165292</v>
      </c>
    </row>
    <row r="64" spans="1:9">
      <c r="A64" s="17">
        <f>mem_dec!A64*mem_dec!A85</f>
        <v>48057</v>
      </c>
      <c r="B64" s="17">
        <f>mem_dec!B64*mem_dec!B85</f>
        <v>39123</v>
      </c>
      <c r="C64" s="17">
        <f>mem_dec!C64*mem_dec!C85</f>
        <v>5370</v>
      </c>
      <c r="D64" s="17">
        <f>mem_dec!D64*mem_dec!D85</f>
        <v>17496</v>
      </c>
      <c r="E64" s="30"/>
      <c r="F64" s="24">
        <f t="shared" si="0"/>
        <v>110046</v>
      </c>
      <c r="H64" s="23">
        <v>4</v>
      </c>
      <c r="I64" s="23">
        <f>F64+F69+F74+F79</f>
        <v>371156</v>
      </c>
    </row>
    <row r="65" spans="1:9">
      <c r="A65" s="17">
        <f>mem_dec!A65*mem_dec!A86</f>
        <v>11773</v>
      </c>
      <c r="B65" s="17">
        <f>mem_dec!B65*mem_dec!B86</f>
        <v>19800</v>
      </c>
      <c r="C65" s="17">
        <f>mem_dec!C65*mem_dec!C86</f>
        <v>12928</v>
      </c>
      <c r="D65" s="17">
        <f>mem_dec!D65*mem_dec!D86</f>
        <v>6370</v>
      </c>
      <c r="E65" s="30"/>
      <c r="F65" s="24">
        <f t="shared" si="0"/>
        <v>50871</v>
      </c>
      <c r="H65" s="23">
        <v>5</v>
      </c>
      <c r="I65" s="23">
        <f>F65+F70+F75+F80</f>
        <v>329446</v>
      </c>
    </row>
    <row r="66" spans="1:9">
      <c r="A66" s="18">
        <f>mem_dec!A66*mem_dec!A87</f>
        <v>12090</v>
      </c>
      <c r="B66" s="18">
        <f>mem_dec!B66*mem_dec!B87</f>
        <v>3740</v>
      </c>
      <c r="C66" s="18">
        <f>mem_dec!C66*mem_dec!C87</f>
        <v>49725</v>
      </c>
      <c r="D66" s="18">
        <f>mem_dec!D66*mem_dec!D87</f>
        <v>14328</v>
      </c>
      <c r="E66" s="30"/>
      <c r="F66" s="25">
        <f t="shared" ref="F66:F80" si="1">SUM(A66:D66)</f>
        <v>79883</v>
      </c>
      <c r="H66" s="23" t="s">
        <v>6</v>
      </c>
      <c r="I66" s="23">
        <f>SUM(I61:I65)</f>
        <v>1419272</v>
      </c>
    </row>
    <row r="67" spans="1:9">
      <c r="A67" s="18">
        <f>mem_dec!A67*mem_dec!A88</f>
        <v>12878</v>
      </c>
      <c r="B67" s="18">
        <f>mem_dec!B67*mem_dec!B88</f>
        <v>29484</v>
      </c>
      <c r="C67" s="18">
        <f>mem_dec!C67*mem_dec!C88</f>
        <v>17365</v>
      </c>
      <c r="D67" s="18">
        <f>mem_dec!D67*mem_dec!D88</f>
        <v>19440</v>
      </c>
      <c r="E67" s="30"/>
      <c r="F67" s="25">
        <f t="shared" si="1"/>
        <v>79167</v>
      </c>
    </row>
    <row r="68" spans="1:9">
      <c r="A68" s="18">
        <f>mem_dec!A68*mem_dec!A89</f>
        <v>10416</v>
      </c>
      <c r="B68" s="18">
        <f>mem_dec!B68*mem_dec!B89</f>
        <v>2592</v>
      </c>
      <c r="C68" s="18">
        <f>mem_dec!C68*mem_dec!C89</f>
        <v>10452</v>
      </c>
      <c r="D68" s="18">
        <f>mem_dec!D68*mem_dec!D89</f>
        <v>819</v>
      </c>
      <c r="E68" s="30"/>
      <c r="F68" s="25">
        <f t="shared" si="1"/>
        <v>24279</v>
      </c>
    </row>
    <row r="69" spans="1:9">
      <c r="A69" s="18">
        <f>mem_dec!A69*mem_dec!A90</f>
        <v>12780</v>
      </c>
      <c r="B69" s="18">
        <f>mem_dec!B69*mem_dec!B90</f>
        <v>18639</v>
      </c>
      <c r="C69" s="18">
        <f>mem_dec!C69*mem_dec!C90</f>
        <v>12218</v>
      </c>
      <c r="D69" s="18">
        <f>mem_dec!D69*mem_dec!D90</f>
        <v>27027</v>
      </c>
      <c r="E69" s="30"/>
      <c r="F69" s="25">
        <f t="shared" si="1"/>
        <v>70664</v>
      </c>
    </row>
    <row r="70" spans="1:9">
      <c r="A70" s="18">
        <f>mem_dec!A70*mem_dec!A91</f>
        <v>32802</v>
      </c>
      <c r="B70" s="18">
        <f>mem_dec!B70*mem_dec!B91</f>
        <v>8022</v>
      </c>
      <c r="C70" s="18">
        <f>mem_dec!C70*mem_dec!C91</f>
        <v>300</v>
      </c>
      <c r="D70" s="18">
        <f>mem_dec!D70*mem_dec!D91</f>
        <v>26752</v>
      </c>
      <c r="E70" s="30"/>
      <c r="F70" s="25">
        <f t="shared" si="1"/>
        <v>67876</v>
      </c>
    </row>
    <row r="71" spans="1:9">
      <c r="A71" s="17">
        <f>mem_dec!A71*mem_dec!A92</f>
        <v>11773</v>
      </c>
      <c r="B71" s="17">
        <f>mem_dec!B71*mem_dec!B92</f>
        <v>29</v>
      </c>
      <c r="C71" s="17">
        <f>mem_dec!C71*mem_dec!C92</f>
        <v>55176</v>
      </c>
      <c r="D71" s="17">
        <f>mem_dec!D71*mem_dec!D92</f>
        <v>10098</v>
      </c>
      <c r="E71" s="30"/>
      <c r="F71" s="24">
        <f t="shared" si="1"/>
        <v>77076</v>
      </c>
    </row>
    <row r="72" spans="1:9">
      <c r="A72" s="17">
        <f>mem_dec!A72*mem_dec!A93</f>
        <v>18404</v>
      </c>
      <c r="B72" s="17">
        <f>mem_dec!B72*mem_dec!B93</f>
        <v>55590</v>
      </c>
      <c r="C72" s="17">
        <f>mem_dec!C72*mem_dec!C93</f>
        <v>10922</v>
      </c>
      <c r="D72" s="17">
        <f>mem_dec!D72*mem_dec!D93</f>
        <v>24610</v>
      </c>
      <c r="E72" s="30"/>
      <c r="F72" s="24">
        <f t="shared" si="1"/>
        <v>109526</v>
      </c>
    </row>
    <row r="73" spans="1:9">
      <c r="A73" s="17">
        <f>mem_dec!A73*mem_dec!A94</f>
        <v>3239</v>
      </c>
      <c r="B73" s="17">
        <f>mem_dec!B73*mem_dec!B94</f>
        <v>35200</v>
      </c>
      <c r="C73" s="17">
        <f>mem_dec!C73*mem_dec!C94</f>
        <v>27300</v>
      </c>
      <c r="D73" s="17">
        <f>mem_dec!D73*mem_dec!D94</f>
        <v>1501</v>
      </c>
      <c r="E73" s="30"/>
      <c r="F73" s="24">
        <f t="shared" si="1"/>
        <v>67240</v>
      </c>
    </row>
    <row r="74" spans="1:9">
      <c r="A74" s="17">
        <f>mem_dec!A74*mem_dec!A95</f>
        <v>53297</v>
      </c>
      <c r="B74" s="17">
        <f>mem_dec!B74*mem_dec!B95</f>
        <v>7900</v>
      </c>
      <c r="C74" s="17">
        <f>mem_dec!C74*mem_dec!C95</f>
        <v>48608</v>
      </c>
      <c r="D74" s="17">
        <f>mem_dec!D74*mem_dec!D95</f>
        <v>15379</v>
      </c>
      <c r="E74" s="30"/>
      <c r="F74" s="24">
        <f t="shared" si="1"/>
        <v>125184</v>
      </c>
    </row>
    <row r="75" spans="1:9">
      <c r="A75" s="17">
        <f>mem_dec!A75*mem_dec!A96</f>
        <v>19888</v>
      </c>
      <c r="B75" s="17">
        <f>mem_dec!B75*mem_dec!B96</f>
        <v>42900</v>
      </c>
      <c r="C75" s="17">
        <f>mem_dec!C75*mem_dec!C96</f>
        <v>18584</v>
      </c>
      <c r="D75" s="17">
        <f>mem_dec!D75*mem_dec!D96</f>
        <v>28994</v>
      </c>
      <c r="E75" s="30"/>
      <c r="F75" s="24">
        <f t="shared" si="1"/>
        <v>110366</v>
      </c>
    </row>
    <row r="76" spans="1:9">
      <c r="A76" s="18">
        <f>mem_dec!A76*mem_dec!A97</f>
        <v>8514</v>
      </c>
      <c r="B76" s="18">
        <f>mem_dec!B76*mem_dec!B97</f>
        <v>288</v>
      </c>
      <c r="C76" s="18">
        <f>mem_dec!C76*mem_dec!C97</f>
        <v>2430</v>
      </c>
      <c r="D76" s="18">
        <f>mem_dec!D76*mem_dec!D97</f>
        <v>20413</v>
      </c>
      <c r="E76" s="30"/>
      <c r="F76" s="25">
        <f t="shared" si="1"/>
        <v>31645</v>
      </c>
    </row>
    <row r="77" spans="1:9">
      <c r="A77" s="18">
        <f>mem_dec!A77*mem_dec!A98</f>
        <v>27216</v>
      </c>
      <c r="B77" s="18">
        <f>mem_dec!B77*mem_dec!B98</f>
        <v>9028</v>
      </c>
      <c r="C77" s="18">
        <f>mem_dec!C77*mem_dec!C98</f>
        <v>14268</v>
      </c>
      <c r="D77" s="18">
        <f>mem_dec!D77*mem_dec!D98</f>
        <v>24521</v>
      </c>
      <c r="E77" s="30"/>
      <c r="F77" s="25">
        <f t="shared" si="1"/>
        <v>75033</v>
      </c>
    </row>
    <row r="78" spans="1:9">
      <c r="A78" s="18">
        <f>mem_dec!A78*mem_dec!A99</f>
        <v>6300</v>
      </c>
      <c r="B78" s="18">
        <f>mem_dec!B78*mem_dec!B99</f>
        <v>828</v>
      </c>
      <c r="C78" s="18">
        <f>mem_dec!C78*mem_dec!C99</f>
        <v>5434</v>
      </c>
      <c r="D78" s="18">
        <f>mem_dec!D78*mem_dec!D99</f>
        <v>1026</v>
      </c>
      <c r="E78" s="30"/>
      <c r="F78" s="25">
        <f t="shared" si="1"/>
        <v>13588</v>
      </c>
    </row>
    <row r="79" spans="1:9">
      <c r="A79" s="18">
        <f>mem_dec!A79*mem_dec!A100</f>
        <v>32856</v>
      </c>
      <c r="B79" s="18">
        <f>mem_dec!B79*mem_dec!B100</f>
        <v>13832</v>
      </c>
      <c r="C79" s="18">
        <f>mem_dec!C79*mem_dec!C100</f>
        <v>12284</v>
      </c>
      <c r="D79" s="18">
        <f>mem_dec!D79*mem_dec!D100</f>
        <v>6290</v>
      </c>
      <c r="E79" s="30"/>
      <c r="F79" s="25">
        <f t="shared" si="1"/>
        <v>65262</v>
      </c>
    </row>
    <row r="80" spans="1:9">
      <c r="A80" s="18">
        <f>mem_dec!A80*mem_dec!A101</f>
        <v>30628</v>
      </c>
      <c r="B80" s="18">
        <f>mem_dec!B80*mem_dec!B101</f>
        <v>16728</v>
      </c>
      <c r="C80" s="18">
        <f>mem_dec!C80*mem_dec!C101</f>
        <v>2496</v>
      </c>
      <c r="D80" s="18">
        <f>mem_dec!D80*mem_dec!D101</f>
        <v>50481</v>
      </c>
      <c r="E80" s="31"/>
      <c r="F80" s="25">
        <f t="shared" si="1"/>
        <v>100333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20BD-0F9A-4D9F-BA35-29DF0C254154}">
  <dimension ref="A1:I80"/>
  <sheetViews>
    <sheetView topLeftCell="A56" workbookViewId="0">
      <selection activeCell="H61" sqref="H61:I66"/>
    </sheetView>
  </sheetViews>
  <sheetFormatPr defaultRowHeight="14.25"/>
  <cols>
    <col min="10" max="10" width="6.375" bestFit="1" customWidth="1"/>
  </cols>
  <sheetData>
    <row r="1" spans="1:9">
      <c r="A1" s="17" t="str">
        <f>DEC2HEX(out_col1!A1)</f>
        <v>214D</v>
      </c>
      <c r="B1" s="17" t="str">
        <f>DEC2HEX(out_col1!B1)</f>
        <v>F6</v>
      </c>
      <c r="C1" s="17" t="str">
        <f>DEC2HEX(out_col1!C1)</f>
        <v>2BEA</v>
      </c>
      <c r="D1" s="17" t="str">
        <f>DEC2HEX(out_col1!D1)</f>
        <v>FCA</v>
      </c>
      <c r="E1" s="28"/>
      <c r="F1" s="17" t="str">
        <f>DEC2HEX(out_col1!F1)</f>
        <v>5DF7</v>
      </c>
      <c r="H1" s="23">
        <v>1</v>
      </c>
      <c r="I1" s="23" t="str">
        <f>DEC2HEX(out_col1!I1)</f>
        <v>2D015</v>
      </c>
    </row>
    <row r="2" spans="1:9">
      <c r="A2" s="17" t="str">
        <f>DEC2HEX(out_col1!A2)</f>
        <v>376E</v>
      </c>
      <c r="B2" s="17" t="str">
        <f>DEC2HEX(out_col1!B2)</f>
        <v>B135</v>
      </c>
      <c r="C2" s="17" t="str">
        <f>DEC2HEX(out_col1!C2)</f>
        <v>352</v>
      </c>
      <c r="D2" s="17" t="str">
        <f>DEC2HEX(out_col1!D2)</f>
        <v>31E0</v>
      </c>
      <c r="E2" s="28"/>
      <c r="F2" s="17" t="str">
        <f>DEC2HEX(out_col1!F2)</f>
        <v>11DD5</v>
      </c>
      <c r="H2" s="23">
        <v>2</v>
      </c>
      <c r="I2" s="23" t="str">
        <f>DEC2HEX(out_col1!I2)</f>
        <v>39F83</v>
      </c>
    </row>
    <row r="3" spans="1:9">
      <c r="A3" s="17" t="str">
        <f>DEC2HEX(out_col1!A3)</f>
        <v>8D8A</v>
      </c>
      <c r="B3" s="17" t="str">
        <f>DEC2HEX(out_col1!B3)</f>
        <v>127</v>
      </c>
      <c r="C3" s="17" t="str">
        <f>DEC2HEX(out_col1!C3)</f>
        <v>3CC0</v>
      </c>
      <c r="D3" s="17" t="str">
        <f>DEC2HEX(out_col1!D3)</f>
        <v>E73</v>
      </c>
      <c r="E3" s="28"/>
      <c r="F3" s="17" t="str">
        <f>DEC2HEX(out_col1!F3)</f>
        <v>D9E4</v>
      </c>
      <c r="H3" s="23">
        <v>3</v>
      </c>
      <c r="I3" s="23" t="str">
        <f>DEC2HEX(out_col1!I3)</f>
        <v>38DE3</v>
      </c>
    </row>
    <row r="4" spans="1:9">
      <c r="A4" s="17" t="str">
        <f>DEC2HEX(out_col1!A4)</f>
        <v>F9</v>
      </c>
      <c r="B4" s="17" t="str">
        <f>DEC2HEX(out_col1!B4)</f>
        <v>1E30</v>
      </c>
      <c r="C4" s="17" t="str">
        <f>DEC2HEX(out_col1!C4)</f>
        <v>1356</v>
      </c>
      <c r="D4" s="17" t="str">
        <f>DEC2HEX(out_col1!D4)</f>
        <v>8700</v>
      </c>
      <c r="E4" s="28"/>
      <c r="F4" s="17" t="str">
        <f>DEC2HEX(out_col1!F4)</f>
        <v>B97F</v>
      </c>
      <c r="H4" s="23">
        <v>4</v>
      </c>
      <c r="I4" s="23" t="str">
        <f>DEC2HEX(out_col1!I4)</f>
        <v>50826</v>
      </c>
    </row>
    <row r="5" spans="1:9">
      <c r="A5" s="17" t="str">
        <f>DEC2HEX(out_col1!A5)</f>
        <v>57B</v>
      </c>
      <c r="B5" s="17" t="str">
        <f>DEC2HEX(out_col1!B5)</f>
        <v>3498</v>
      </c>
      <c r="C5" s="17" t="str">
        <f>DEC2HEX(out_col1!C5)</f>
        <v>2F58</v>
      </c>
      <c r="D5" s="17" t="str">
        <f>DEC2HEX(out_col1!D5)</f>
        <v>2BAC</v>
      </c>
      <c r="E5" s="28"/>
      <c r="F5" s="17" t="str">
        <f>DEC2HEX(out_col1!F5)</f>
        <v>9517</v>
      </c>
      <c r="H5" s="23">
        <v>5</v>
      </c>
      <c r="I5" s="23" t="str">
        <f>DEC2HEX(out_col1!I5)</f>
        <v>279A1</v>
      </c>
    </row>
    <row r="6" spans="1:9">
      <c r="A6" s="17" t="str">
        <f>DEC2HEX(out_col1!A6)</f>
        <v>27F</v>
      </c>
      <c r="B6" s="17" t="str">
        <f>DEC2HEX(out_col1!B6)</f>
        <v>2873</v>
      </c>
      <c r="C6" s="17" t="str">
        <f>DEC2HEX(out_col1!C6)</f>
        <v>8F2E</v>
      </c>
      <c r="D6" s="17" t="str">
        <f>DEC2HEX(out_col1!D6)</f>
        <v>82D7</v>
      </c>
      <c r="E6" s="28"/>
      <c r="F6" s="17" t="str">
        <f>DEC2HEX(out_col1!F6)</f>
        <v>13CF7</v>
      </c>
      <c r="H6" s="26" t="s">
        <v>6</v>
      </c>
      <c r="I6" s="23" t="str">
        <f>DEC2HEX(out_col1!I6)</f>
        <v>117F42</v>
      </c>
    </row>
    <row r="7" spans="1:9">
      <c r="A7" s="17" t="str">
        <f>DEC2HEX(out_col1!A7)</f>
        <v>63D8</v>
      </c>
      <c r="B7" s="17" t="str">
        <f>DEC2HEX(out_col1!B7)</f>
        <v>8DC</v>
      </c>
      <c r="C7" s="17" t="str">
        <f>DEC2HEX(out_col1!C7)</f>
        <v>300C</v>
      </c>
      <c r="D7" s="17" t="str">
        <f>DEC2HEX(out_col1!D7)</f>
        <v>BE39</v>
      </c>
      <c r="E7" s="28"/>
      <c r="F7" s="17" t="str">
        <f>DEC2HEX(out_col1!F7)</f>
        <v>15AF9</v>
      </c>
    </row>
    <row r="8" spans="1:9">
      <c r="A8" s="17" t="str">
        <f>DEC2HEX(out_col1!A8)</f>
        <v>BF7E</v>
      </c>
      <c r="B8" s="17" t="str">
        <f>DEC2HEX(out_col1!B8)</f>
        <v>2F2</v>
      </c>
      <c r="C8" s="17" t="str">
        <f>DEC2HEX(out_col1!C8)</f>
        <v>7EAC</v>
      </c>
      <c r="D8" s="17" t="str">
        <f>DEC2HEX(out_col1!D8)</f>
        <v>211E</v>
      </c>
      <c r="E8" s="28"/>
      <c r="F8" s="17" t="str">
        <f>DEC2HEX(out_col1!F8)</f>
        <v>1623A</v>
      </c>
    </row>
    <row r="9" spans="1:9">
      <c r="A9" s="17" t="str">
        <f>DEC2HEX(out_col1!A9)</f>
        <v>C39C</v>
      </c>
      <c r="B9" s="17" t="str">
        <f>DEC2HEX(out_col1!B9)</f>
        <v>629D</v>
      </c>
      <c r="C9" s="17" t="str">
        <f>DEC2HEX(out_col1!C9)</f>
        <v>1E67</v>
      </c>
      <c r="D9" s="17" t="str">
        <f>DEC2HEX(out_col1!D9)</f>
        <v>2B20</v>
      </c>
      <c r="E9" s="28"/>
      <c r="F9" s="17" t="str">
        <f>DEC2HEX(out_col1!F9)</f>
        <v>16FC0</v>
      </c>
    </row>
    <row r="10" spans="1:9">
      <c r="A10" s="17" t="str">
        <f>DEC2HEX(out_col1!A10)</f>
        <v>A69</v>
      </c>
      <c r="B10" s="17" t="str">
        <f>DEC2HEX(out_col1!B10)</f>
        <v>CE4</v>
      </c>
      <c r="C10" s="17" t="str">
        <f>DEC2HEX(out_col1!C10)</f>
        <v>2D18</v>
      </c>
      <c r="D10" s="17" t="str">
        <f>DEC2HEX(out_col1!D10)</f>
        <v>43B</v>
      </c>
      <c r="E10" s="28"/>
      <c r="F10" s="17" t="str">
        <f>DEC2HEX(out_col1!F10)</f>
        <v>48A0</v>
      </c>
    </row>
    <row r="11" spans="1:9">
      <c r="A11" s="17" t="str">
        <f>DEC2HEX(out_col1!A11)</f>
        <v>1170</v>
      </c>
      <c r="B11" s="17" t="str">
        <f>DEC2HEX(out_col1!B11)</f>
        <v>B6B</v>
      </c>
      <c r="C11" s="17" t="str">
        <f>DEC2HEX(out_col1!C11)</f>
        <v>414</v>
      </c>
      <c r="D11" s="17" t="str">
        <f>DEC2HEX(out_col1!D11)</f>
        <v>3C2F</v>
      </c>
      <c r="E11" s="28"/>
      <c r="F11" s="17" t="str">
        <f>DEC2HEX(out_col1!F11)</f>
        <v>5D1E</v>
      </c>
    </row>
    <row r="12" spans="1:9">
      <c r="A12" s="17" t="str">
        <f>DEC2HEX(out_col1!A12)</f>
        <v>2044</v>
      </c>
      <c r="B12" s="17" t="str">
        <f>DEC2HEX(out_col1!B12)</f>
        <v>241E</v>
      </c>
      <c r="C12" s="17" t="str">
        <f>DEC2HEX(out_col1!C12)</f>
        <v>222</v>
      </c>
      <c r="D12" s="17" t="str">
        <f>DEC2HEX(out_col1!D12)</f>
        <v>948</v>
      </c>
      <c r="E12" s="28"/>
      <c r="F12" s="17" t="str">
        <f>DEC2HEX(out_col1!F12)</f>
        <v>4FCC</v>
      </c>
    </row>
    <row r="13" spans="1:9">
      <c r="A13" s="17" t="str">
        <f>DEC2HEX(out_col1!A13)</f>
        <v>6404</v>
      </c>
      <c r="B13" s="17" t="str">
        <f>DEC2HEX(out_col1!B13)</f>
        <v>2730</v>
      </c>
      <c r="C13" s="17" t="str">
        <f>DEC2HEX(out_col1!C13)</f>
        <v>143C</v>
      </c>
      <c r="D13" s="17" t="str">
        <f>DEC2HEX(out_col1!D13)</f>
        <v>1A4E</v>
      </c>
      <c r="E13" s="28"/>
      <c r="F13" s="17" t="str">
        <f>DEC2HEX(out_col1!F13)</f>
        <v>B9BE</v>
      </c>
    </row>
    <row r="14" spans="1:9">
      <c r="A14" s="17" t="str">
        <f>DEC2HEX(out_col1!A14)</f>
        <v>B091</v>
      </c>
      <c r="B14" s="17" t="str">
        <f>DEC2HEX(out_col1!B14)</f>
        <v>F60</v>
      </c>
      <c r="C14" s="17" t="str">
        <f>DEC2HEX(out_col1!C14)</f>
        <v>1185</v>
      </c>
      <c r="D14" s="17" t="str">
        <f>DEC2HEX(out_col1!D14)</f>
        <v>B20E</v>
      </c>
      <c r="E14" s="28"/>
      <c r="F14" s="17" t="str">
        <f>DEC2HEX(out_col1!F14)</f>
        <v>18384</v>
      </c>
    </row>
    <row r="15" spans="1:9">
      <c r="A15" s="17" t="str">
        <f>DEC2HEX(out_col1!A15)</f>
        <v>2D0</v>
      </c>
      <c r="B15" s="17" t="str">
        <f>DEC2HEX(out_col1!B15)</f>
        <v>60F7</v>
      </c>
      <c r="C15" s="17" t="str">
        <f>DEC2HEX(out_col1!C15)</f>
        <v>4309</v>
      </c>
      <c r="D15" s="17" t="str">
        <f>DEC2HEX(out_col1!D15)</f>
        <v>52FA</v>
      </c>
      <c r="E15" s="28"/>
      <c r="F15" s="17" t="str">
        <f>DEC2HEX(out_col1!F15)</f>
        <v>F9CA</v>
      </c>
    </row>
    <row r="16" spans="1:9">
      <c r="A16" s="17" t="str">
        <f>DEC2HEX(out_col1!A16)</f>
        <v>183</v>
      </c>
      <c r="B16" s="17" t="str">
        <f>DEC2HEX(out_col1!B16)</f>
        <v>4CD5</v>
      </c>
      <c r="C16" s="17" t="str">
        <f>DEC2HEX(out_col1!C16)</f>
        <v>1DED</v>
      </c>
      <c r="D16" s="17" t="str">
        <f>DEC2HEX(out_col1!D16)</f>
        <v>6BC4</v>
      </c>
      <c r="E16" s="28"/>
      <c r="F16" s="17" t="str">
        <f>DEC2HEX(out_col1!F16)</f>
        <v>D809</v>
      </c>
    </row>
    <row r="17" spans="1:9">
      <c r="A17" s="17" t="str">
        <f>DEC2HEX(out_col1!A17)</f>
        <v>738</v>
      </c>
      <c r="B17" s="17" t="str">
        <f>DEC2HEX(out_col1!B17)</f>
        <v>4330</v>
      </c>
      <c r="C17" s="17" t="str">
        <f>DEC2HEX(out_col1!C17)</f>
        <v>3BBA</v>
      </c>
      <c r="D17" s="17" t="str">
        <f>DEC2HEX(out_col1!D17)</f>
        <v>50C7</v>
      </c>
      <c r="E17" s="28"/>
      <c r="F17" s="17" t="str">
        <f>DEC2HEX(out_col1!F17)</f>
        <v>D6E9</v>
      </c>
    </row>
    <row r="18" spans="1:9">
      <c r="A18" s="17" t="str">
        <f>DEC2HEX(out_col1!A18)</f>
        <v>3288</v>
      </c>
      <c r="B18" s="17" t="str">
        <f>DEC2HEX(out_col1!B18)</f>
        <v>B44</v>
      </c>
      <c r="C18" s="17" t="str">
        <f>DEC2HEX(out_col1!C18)</f>
        <v>4BC8</v>
      </c>
      <c r="D18" s="17" t="str">
        <f>DEC2HEX(out_col1!D18)</f>
        <v>E73</v>
      </c>
      <c r="E18" s="28"/>
      <c r="F18" s="17" t="str">
        <f>DEC2HEX(out_col1!F18)</f>
        <v>9807</v>
      </c>
    </row>
    <row r="19" spans="1:9">
      <c r="A19" s="17" t="str">
        <f>DEC2HEX(out_col1!A19)</f>
        <v>C98</v>
      </c>
      <c r="B19" s="17" t="str">
        <f>DEC2HEX(out_col1!B19)</f>
        <v>474C</v>
      </c>
      <c r="C19" s="17" t="str">
        <f>DEC2HEX(out_col1!C19)</f>
        <v>A8FF</v>
      </c>
      <c r="D19" s="17" t="str">
        <f>DEC2HEX(out_col1!D19)</f>
        <v>5E80</v>
      </c>
      <c r="E19" s="28"/>
      <c r="F19" s="17" t="str">
        <f>DEC2HEX(out_col1!F19)</f>
        <v>15B63</v>
      </c>
    </row>
    <row r="20" spans="1:9">
      <c r="A20" s="17" t="str">
        <f>DEC2HEX(out_col1!A20)</f>
        <v>37E6</v>
      </c>
      <c r="B20" s="17" t="str">
        <f>DEC2HEX(out_col1!B20)</f>
        <v>46F4</v>
      </c>
      <c r="C20" s="17" t="str">
        <f>DEC2HEX(out_col1!C20)</f>
        <v>1BC0</v>
      </c>
      <c r="D20" s="17" t="str">
        <f>DEC2HEX(out_col1!D20)</f>
        <v>786</v>
      </c>
      <c r="E20" s="28"/>
      <c r="F20" s="17" t="str">
        <f>DEC2HEX(out_col1!F20)</f>
        <v>A220</v>
      </c>
    </row>
    <row r="21" spans="1:9">
      <c r="A21" s="17" t="str">
        <f>DEC2HEX(out_col1!A21)</f>
        <v>0</v>
      </c>
      <c r="B21" s="17" t="str">
        <f>DEC2HEX(out_col1!B21)</f>
        <v>1C34</v>
      </c>
      <c r="C21" s="17" t="str">
        <f>DEC2HEX(out_col1!C21)</f>
        <v>1A85</v>
      </c>
      <c r="D21" s="17" t="str">
        <f>DEC2HEX(out_col1!D21)</f>
        <v>1228</v>
      </c>
      <c r="E21" s="29"/>
      <c r="F21" s="17" t="str">
        <f>DEC2HEX(out_col1!F21)</f>
        <v>48E1</v>
      </c>
      <c r="G21" s="20"/>
      <c r="H21" s="23">
        <v>1</v>
      </c>
      <c r="I21" s="23" t="str">
        <f>DEC2HEX(out_col1!I21)</f>
        <v>1FE72</v>
      </c>
    </row>
    <row r="22" spans="1:9">
      <c r="A22" s="17" t="str">
        <f>DEC2HEX(out_col1!A22)</f>
        <v>5F0F</v>
      </c>
      <c r="B22" s="17" t="str">
        <f>DEC2HEX(out_col1!B22)</f>
        <v>1</v>
      </c>
      <c r="C22" s="17" t="str">
        <f>DEC2HEX(out_col1!C22)</f>
        <v>81F0</v>
      </c>
      <c r="D22" s="17" t="str">
        <f>DEC2HEX(out_col1!D22)</f>
        <v>F9B</v>
      </c>
      <c r="E22" s="30"/>
      <c r="F22" s="17" t="str">
        <f>DEC2HEX(out_col1!F22)</f>
        <v>F09B</v>
      </c>
      <c r="H22" s="23">
        <v>2</v>
      </c>
      <c r="I22" s="23" t="str">
        <f>DEC2HEX(out_col1!I22)</f>
        <v>48322</v>
      </c>
    </row>
    <row r="23" spans="1:9">
      <c r="A23" s="17" t="str">
        <f>DEC2HEX(out_col1!A23)</f>
        <v>4D19</v>
      </c>
      <c r="B23" s="17" t="str">
        <f>DEC2HEX(out_col1!B23)</f>
        <v>7C4C</v>
      </c>
      <c r="C23" s="17" t="str">
        <f>DEC2HEX(out_col1!C23)</f>
        <v>19A</v>
      </c>
      <c r="D23" s="17" t="str">
        <f>DEC2HEX(out_col1!D23)</f>
        <v>32DC</v>
      </c>
      <c r="E23" s="30"/>
      <c r="F23" s="17" t="str">
        <f>DEC2HEX(out_col1!F23)</f>
        <v>FDDB</v>
      </c>
      <c r="H23" s="23">
        <v>3</v>
      </c>
      <c r="I23" s="23" t="str">
        <f>DEC2HEX(out_col1!I23)</f>
        <v>4B4DF</v>
      </c>
    </row>
    <row r="24" spans="1:9">
      <c r="A24" s="17" t="str">
        <f>DEC2HEX(out_col1!A24)</f>
        <v>342F</v>
      </c>
      <c r="B24" s="17" t="str">
        <f>DEC2HEX(out_col1!B24)</f>
        <v>E1</v>
      </c>
      <c r="C24" s="17" t="str">
        <f>DEC2HEX(out_col1!C24)</f>
        <v>2D0</v>
      </c>
      <c r="D24" s="17" t="str">
        <f>DEC2HEX(out_col1!D24)</f>
        <v>1734</v>
      </c>
      <c r="E24" s="30"/>
      <c r="F24" s="17" t="str">
        <f>DEC2HEX(out_col1!F24)</f>
        <v>4F14</v>
      </c>
      <c r="H24" s="23">
        <v>4</v>
      </c>
      <c r="I24" s="23" t="str">
        <f>DEC2HEX(out_col1!I24)</f>
        <v>47F08</v>
      </c>
    </row>
    <row r="25" spans="1:9">
      <c r="A25" s="17" t="str">
        <f>DEC2HEX(out_col1!A25)</f>
        <v>D6F5</v>
      </c>
      <c r="B25" s="17" t="str">
        <f>DEC2HEX(out_col1!B25)</f>
        <v>3A7D</v>
      </c>
      <c r="C25" s="17" t="str">
        <f>DEC2HEX(out_col1!C25)</f>
        <v>1176</v>
      </c>
      <c r="D25" s="17" t="str">
        <f>DEC2HEX(out_col1!D25)</f>
        <v>C570</v>
      </c>
      <c r="E25" s="30"/>
      <c r="F25" s="17" t="str">
        <f>DEC2HEX(out_col1!F25)</f>
        <v>1E858</v>
      </c>
      <c r="H25" s="23">
        <v>5</v>
      </c>
      <c r="I25" s="23" t="str">
        <f>DEC2HEX(out_col1!I25)</f>
        <v>59286</v>
      </c>
    </row>
    <row r="26" spans="1:9">
      <c r="A26" s="17" t="str">
        <f>DEC2HEX(out_col1!A26)</f>
        <v>6582</v>
      </c>
      <c r="B26" s="17" t="str">
        <f>DEC2HEX(out_col1!B26)</f>
        <v>1845</v>
      </c>
      <c r="C26" s="17" t="str">
        <f>DEC2HEX(out_col1!C26)</f>
        <v>34F7</v>
      </c>
      <c r="D26" s="17" t="str">
        <f>DEC2HEX(out_col1!D26)</f>
        <v>336F</v>
      </c>
      <c r="E26" s="30"/>
      <c r="F26" s="17" t="str">
        <f>DEC2HEX(out_col1!F26)</f>
        <v>E62D</v>
      </c>
      <c r="H26" s="26" t="s">
        <v>6</v>
      </c>
      <c r="I26" s="23" t="str">
        <f>DEC2HEX(out_col1!I26)</f>
        <v>154801</v>
      </c>
    </row>
    <row r="27" spans="1:9">
      <c r="A27" s="17" t="str">
        <f>DEC2HEX(out_col1!A27)</f>
        <v>CD83</v>
      </c>
      <c r="B27" s="17" t="str">
        <f>DEC2HEX(out_col1!B27)</f>
        <v>54</v>
      </c>
      <c r="C27" s="17" t="str">
        <f>DEC2HEX(out_col1!C27)</f>
        <v>364C</v>
      </c>
      <c r="D27" s="17" t="str">
        <f>DEC2HEX(out_col1!D27)</f>
        <v>BE39</v>
      </c>
      <c r="E27" s="30"/>
      <c r="F27" s="17" t="str">
        <f>DEC2HEX(out_col1!F27)</f>
        <v>1C25C</v>
      </c>
    </row>
    <row r="28" spans="1:9">
      <c r="A28" s="17" t="str">
        <f>DEC2HEX(out_col1!A28)</f>
        <v>15DD</v>
      </c>
      <c r="B28" s="17" t="str">
        <f>DEC2HEX(out_col1!B28)</f>
        <v>16E2</v>
      </c>
      <c r="C28" s="17" t="str">
        <f>DEC2HEX(out_col1!C28)</f>
        <v>3E64</v>
      </c>
      <c r="D28" s="17" t="str">
        <f>DEC2HEX(out_col1!D28)</f>
        <v>15F0</v>
      </c>
      <c r="E28" s="30"/>
      <c r="F28" s="17" t="str">
        <f>DEC2HEX(out_col1!F28)</f>
        <v>8113</v>
      </c>
    </row>
    <row r="29" spans="1:9">
      <c r="A29" s="17" t="str">
        <f>DEC2HEX(out_col1!A29)</f>
        <v>9824</v>
      </c>
      <c r="B29" s="17" t="str">
        <f>DEC2HEX(out_col1!B29)</f>
        <v>A45B</v>
      </c>
      <c r="C29" s="17" t="str">
        <f>DEC2HEX(out_col1!C29)</f>
        <v>1F69</v>
      </c>
      <c r="D29" s="17" t="str">
        <f>DEC2HEX(out_col1!D29)</f>
        <v>84F8</v>
      </c>
      <c r="E29" s="30"/>
      <c r="F29" s="17" t="str">
        <f>DEC2HEX(out_col1!F29)</f>
        <v>1E0E0</v>
      </c>
    </row>
    <row r="30" spans="1:9">
      <c r="A30" s="17" t="str">
        <f>DEC2HEX(out_col1!A30)</f>
        <v>1C59</v>
      </c>
      <c r="B30" s="17" t="str">
        <f>DEC2HEX(out_col1!B30)</f>
        <v>D5FC</v>
      </c>
      <c r="C30" s="17" t="str">
        <f>DEC2HEX(out_col1!C30)</f>
        <v>58F8</v>
      </c>
      <c r="D30" s="17" t="str">
        <f>DEC2HEX(out_col1!D30)</f>
        <v>115E</v>
      </c>
      <c r="E30" s="30"/>
      <c r="F30" s="17" t="str">
        <f>DEC2HEX(out_col1!F30)</f>
        <v>15CAB</v>
      </c>
    </row>
    <row r="31" spans="1:9">
      <c r="A31" s="17" t="str">
        <f>DEC2HEX(out_col1!A31)</f>
        <v>19B4</v>
      </c>
      <c r="B31" s="17" t="str">
        <f>DEC2HEX(out_col1!B31)</f>
        <v>26FE</v>
      </c>
      <c r="C31" s="17" t="str">
        <f>DEC2HEX(out_col1!C31)</f>
        <v>5FE</v>
      </c>
      <c r="D31" s="17" t="str">
        <f>DEC2HEX(out_col1!D31)</f>
        <v>1641</v>
      </c>
      <c r="E31" s="30"/>
      <c r="F31" s="17" t="str">
        <f>DEC2HEX(out_col1!F31)</f>
        <v>5CF1</v>
      </c>
    </row>
    <row r="32" spans="1:9">
      <c r="A32" s="17" t="str">
        <f>DEC2HEX(out_col1!A32)</f>
        <v>5468</v>
      </c>
      <c r="B32" s="17" t="str">
        <f>DEC2HEX(out_col1!B32)</f>
        <v>4318</v>
      </c>
      <c r="C32" s="17" t="str">
        <f>DEC2HEX(out_col1!C32)</f>
        <v>2344</v>
      </c>
      <c r="D32" s="17" t="str">
        <f>DEC2HEX(out_col1!D32)</f>
        <v>14D0</v>
      </c>
      <c r="E32" s="30"/>
      <c r="F32" s="17" t="str">
        <f>DEC2HEX(out_col1!F32)</f>
        <v>CF94</v>
      </c>
    </row>
    <row r="33" spans="1:9">
      <c r="A33" s="17" t="str">
        <f>DEC2HEX(out_col1!A33)</f>
        <v>C3DD</v>
      </c>
      <c r="B33" s="17" t="str">
        <f>DEC2HEX(out_col1!B33)</f>
        <v>94A0</v>
      </c>
      <c r="C33" s="17" t="str">
        <f>DEC2HEX(out_col1!C33)</f>
        <v>F3C</v>
      </c>
      <c r="D33" s="17" t="str">
        <f>DEC2HEX(out_col1!D33)</f>
        <v>8AF3</v>
      </c>
      <c r="E33" s="30"/>
      <c r="F33" s="17" t="str">
        <f>DEC2HEX(out_col1!F33)</f>
        <v>1F2AC</v>
      </c>
    </row>
    <row r="34" spans="1:9">
      <c r="A34" s="17" t="str">
        <f>DEC2HEX(out_col1!A34)</f>
        <v>AF0</v>
      </c>
      <c r="B34" s="17" t="str">
        <f>DEC2HEX(out_col1!B34)</f>
        <v>D4C2</v>
      </c>
      <c r="C34" s="17" t="str">
        <f>DEC2HEX(out_col1!C34)</f>
        <v>6E05</v>
      </c>
      <c r="D34" s="17" t="str">
        <f>DEC2HEX(out_col1!D34)</f>
        <v>4BEC</v>
      </c>
      <c r="E34" s="30"/>
      <c r="F34" s="17" t="str">
        <f>DEC2HEX(out_col1!F34)</f>
        <v>199A3</v>
      </c>
    </row>
    <row r="35" spans="1:9">
      <c r="A35" s="17" t="str">
        <f>DEC2HEX(out_col1!A35)</f>
        <v>15CC</v>
      </c>
      <c r="B35" s="17" t="str">
        <f>DEC2HEX(out_col1!B35)</f>
        <v>C072</v>
      </c>
      <c r="C35" s="17" t="str">
        <f>DEC2HEX(out_col1!C35)</f>
        <v>93</v>
      </c>
      <c r="D35" s="17" t="str">
        <f>DEC2HEX(out_col1!D35)</f>
        <v>B2C0</v>
      </c>
      <c r="E35" s="30"/>
      <c r="F35" s="17" t="str">
        <f>DEC2HEX(out_col1!F35)</f>
        <v>18991</v>
      </c>
    </row>
    <row r="36" spans="1:9">
      <c r="A36" s="17" t="str">
        <f>DEC2HEX(out_col1!A36)</f>
        <v>183C</v>
      </c>
      <c r="B36" s="17" t="str">
        <f>DEC2HEX(out_col1!B36)</f>
        <v>33A</v>
      </c>
      <c r="C36" s="17" t="str">
        <f>DEC2HEX(out_col1!C36)</f>
        <v>4330</v>
      </c>
      <c r="D36" s="17" t="str">
        <f>DEC2HEX(out_col1!D36)</f>
        <v>13CD</v>
      </c>
      <c r="E36" s="30"/>
      <c r="F36" s="17" t="str">
        <f>DEC2HEX(out_col1!F36)</f>
        <v>7273</v>
      </c>
    </row>
    <row r="37" spans="1:9">
      <c r="A37" s="17" t="str">
        <f>DEC2HEX(out_col1!A37)</f>
        <v>82</v>
      </c>
      <c r="B37" s="17" t="str">
        <f>DEC2HEX(out_col1!B37)</f>
        <v>537C</v>
      </c>
      <c r="C37" s="17" t="str">
        <f>DEC2HEX(out_col1!C37)</f>
        <v>5401</v>
      </c>
      <c r="D37" s="17" t="str">
        <f>DEC2HEX(out_col1!D37)</f>
        <v>5898</v>
      </c>
      <c r="E37" s="30"/>
      <c r="F37" s="17" t="str">
        <f>DEC2HEX(out_col1!F37)</f>
        <v>10097</v>
      </c>
    </row>
    <row r="38" spans="1:9">
      <c r="A38" s="17" t="str">
        <f>DEC2HEX(out_col1!A38)</f>
        <v>5FA</v>
      </c>
      <c r="B38" s="17" t="str">
        <f>DEC2HEX(out_col1!B38)</f>
        <v>DB65</v>
      </c>
      <c r="C38" s="17" t="str">
        <f>DEC2HEX(out_col1!C38)</f>
        <v>2188</v>
      </c>
      <c r="D38" s="17" t="str">
        <f>DEC2HEX(out_col1!D38)</f>
        <v>405E</v>
      </c>
      <c r="E38" s="30"/>
      <c r="F38" s="17" t="str">
        <f>DEC2HEX(out_col1!F38)</f>
        <v>14345</v>
      </c>
    </row>
    <row r="39" spans="1:9">
      <c r="A39" s="17" t="str">
        <f>DEC2HEX(out_col1!A39)</f>
        <v>F0A</v>
      </c>
      <c r="B39" s="17" t="str">
        <f>DEC2HEX(out_col1!B39)</f>
        <v>60CC</v>
      </c>
      <c r="C39" s="17" t="str">
        <f>DEC2HEX(out_col1!C39)</f>
        <v>271A</v>
      </c>
      <c r="D39" s="17" t="str">
        <f>DEC2HEX(out_col1!D39)</f>
        <v>1E81</v>
      </c>
      <c r="E39" s="30"/>
      <c r="F39" s="17" t="str">
        <f>DEC2HEX(out_col1!F39)</f>
        <v>B571</v>
      </c>
    </row>
    <row r="40" spans="1:9">
      <c r="A40" s="17" t="str">
        <f>DEC2HEX(out_col1!A40)</f>
        <v>E40</v>
      </c>
      <c r="B40" s="17" t="str">
        <f>DEC2HEX(out_col1!B40)</f>
        <v>4749</v>
      </c>
      <c r="C40" s="17" t="str">
        <f>DEC2HEX(out_col1!C40)</f>
        <v>57C6</v>
      </c>
      <c r="D40" s="17" t="str">
        <f>DEC2HEX(out_col1!D40)</f>
        <v>16A3</v>
      </c>
      <c r="E40" s="31"/>
      <c r="F40" s="17" t="str">
        <f>DEC2HEX(out_col1!F40)</f>
        <v>C3F2</v>
      </c>
    </row>
    <row r="41" spans="1:9">
      <c r="A41" s="17" t="str">
        <f>DEC2HEX(out_col1!A41)</f>
        <v>0</v>
      </c>
      <c r="B41" s="17" t="str">
        <f>DEC2HEX(out_col1!B41)</f>
        <v>17C</v>
      </c>
      <c r="C41" s="17" t="str">
        <f>DEC2HEX(out_col1!C41)</f>
        <v>1C75</v>
      </c>
      <c r="D41" s="17" t="str">
        <f>DEC2HEX(out_col1!D41)</f>
        <v>22B1</v>
      </c>
      <c r="E41" s="29"/>
      <c r="F41" s="17" t="str">
        <f>DEC2HEX(out_col1!F41)</f>
        <v>40A2</v>
      </c>
      <c r="G41" s="20"/>
      <c r="H41" s="23">
        <v>1</v>
      </c>
      <c r="I41" s="23" t="str">
        <f>DEC2HEX(out_col1!I41)</f>
        <v>2744E</v>
      </c>
    </row>
    <row r="42" spans="1:9">
      <c r="A42" s="17" t="str">
        <f>DEC2HEX(out_col1!A42)</f>
        <v>122A</v>
      </c>
      <c r="B42" s="17" t="str">
        <f>DEC2HEX(out_col1!B42)</f>
        <v>31</v>
      </c>
      <c r="C42" s="17" t="str">
        <f>DEC2HEX(out_col1!C42)</f>
        <v>65AA</v>
      </c>
      <c r="D42" s="17" t="str">
        <f>DEC2HEX(out_col1!D42)</f>
        <v>239E</v>
      </c>
      <c r="E42" s="30"/>
      <c r="F42" s="17" t="str">
        <f>DEC2HEX(out_col1!F42)</f>
        <v>9BA3</v>
      </c>
      <c r="H42" s="23">
        <v>2</v>
      </c>
      <c r="I42" s="23" t="str">
        <f>DEC2HEX(out_col1!I42)</f>
        <v>428C2</v>
      </c>
    </row>
    <row r="43" spans="1:9">
      <c r="A43" s="17" t="str">
        <f>DEC2HEX(out_col1!A43)</f>
        <v>2FDF</v>
      </c>
      <c r="B43" s="17" t="str">
        <f>DEC2HEX(out_col1!B43)</f>
        <v>88E5</v>
      </c>
      <c r="C43" s="17" t="str">
        <f>DEC2HEX(out_col1!C43)</f>
        <v>163</v>
      </c>
      <c r="D43" s="17" t="str">
        <f>DEC2HEX(out_col1!D43)</f>
        <v>49D4</v>
      </c>
      <c r="E43" s="30"/>
      <c r="F43" s="17" t="str">
        <f>DEC2HEX(out_col1!F43)</f>
        <v>103FB</v>
      </c>
      <c r="H43" s="23">
        <v>3</v>
      </c>
      <c r="I43" s="23" t="str">
        <f>DEC2HEX(out_col1!I43)</f>
        <v>40D4D</v>
      </c>
    </row>
    <row r="44" spans="1:9">
      <c r="A44" s="17" t="str">
        <f>DEC2HEX(out_col1!A44)</f>
        <v>B4DB</v>
      </c>
      <c r="B44" s="17" t="str">
        <f>DEC2HEX(out_col1!B44)</f>
        <v>4B5</v>
      </c>
      <c r="C44" s="17" t="str">
        <f>DEC2HEX(out_col1!C44)</f>
        <v>29A0</v>
      </c>
      <c r="D44" s="17" t="str">
        <f>DEC2HEX(out_col1!D44)</f>
        <v>61E</v>
      </c>
      <c r="E44" s="30"/>
      <c r="F44" s="17" t="str">
        <f>DEC2HEX(out_col1!F44)</f>
        <v>E94E</v>
      </c>
      <c r="H44" s="23">
        <v>4</v>
      </c>
      <c r="I44" s="23" t="str">
        <f>DEC2HEX(out_col1!I44)</f>
        <v>4BEB8</v>
      </c>
    </row>
    <row r="45" spans="1:9">
      <c r="A45" s="17" t="str">
        <f>DEC2HEX(out_col1!A45)</f>
        <v>EB62</v>
      </c>
      <c r="B45" s="17" t="str">
        <f>DEC2HEX(out_col1!B45)</f>
        <v>9791</v>
      </c>
      <c r="C45" s="17" t="str">
        <f>DEC2HEX(out_col1!C45)</f>
        <v>10FE</v>
      </c>
      <c r="D45" s="17" t="str">
        <f>DEC2HEX(out_col1!D45)</f>
        <v>D4A0</v>
      </c>
      <c r="E45" s="30"/>
      <c r="F45" s="17" t="str">
        <f>DEC2HEX(out_col1!F45)</f>
        <v>26891</v>
      </c>
      <c r="H45" s="23">
        <v>5</v>
      </c>
      <c r="I45" s="23" t="str">
        <f>DEC2HEX(out_col1!I45)</f>
        <v>59B95</v>
      </c>
    </row>
    <row r="46" spans="1:9">
      <c r="A46" s="17" t="str">
        <f>DEC2HEX(out_col1!A46)</f>
        <v>10A4</v>
      </c>
      <c r="B46" s="17" t="str">
        <f>DEC2HEX(out_col1!B46)</f>
        <v>5BF8</v>
      </c>
      <c r="C46" s="17" t="str">
        <f>DEC2HEX(out_col1!C46)</f>
        <v>2E9</v>
      </c>
      <c r="D46" s="17" t="str">
        <f>DEC2HEX(out_col1!D46)</f>
        <v>68AC</v>
      </c>
      <c r="E46" s="30"/>
      <c r="F46" s="17" t="str">
        <f>DEC2HEX(out_col1!F46)</f>
        <v>D831</v>
      </c>
      <c r="H46" s="26" t="s">
        <v>6</v>
      </c>
      <c r="I46" s="23" t="str">
        <f>DEC2HEX(out_col1!I46)</f>
        <v>1504AA</v>
      </c>
    </row>
    <row r="47" spans="1:9">
      <c r="A47" s="17" t="str">
        <f>DEC2HEX(out_col1!A47)</f>
        <v>C531</v>
      </c>
      <c r="B47" s="17" t="str">
        <f>DEC2HEX(out_col1!B47)</f>
        <v>181E</v>
      </c>
      <c r="C47" s="17" t="str">
        <f>DEC2HEX(out_col1!C47)</f>
        <v>D48</v>
      </c>
      <c r="D47" s="17" t="str">
        <f>DEC2HEX(out_col1!D47)</f>
        <v>6D66</v>
      </c>
      <c r="E47" s="30"/>
      <c r="F47" s="17" t="str">
        <f>DEC2HEX(out_col1!F47)</f>
        <v>157FD</v>
      </c>
    </row>
    <row r="48" spans="1:9">
      <c r="A48" s="17" t="str">
        <f>DEC2HEX(out_col1!A48)</f>
        <v>6506</v>
      </c>
      <c r="B48" s="17" t="str">
        <f>DEC2HEX(out_col1!B48)</f>
        <v>2D5</v>
      </c>
      <c r="C48" s="17" t="str">
        <f>DEC2HEX(out_col1!C48)</f>
        <v>CFF8</v>
      </c>
      <c r="D48" s="17" t="str">
        <f>DEC2HEX(out_col1!D48)</f>
        <v>252</v>
      </c>
      <c r="E48" s="30"/>
      <c r="F48" s="17" t="str">
        <f>DEC2HEX(out_col1!F48)</f>
        <v>13A25</v>
      </c>
    </row>
    <row r="49" spans="1:9">
      <c r="A49" s="17" t="str">
        <f>DEC2HEX(out_col1!A49)</f>
        <v>8414</v>
      </c>
      <c r="B49" s="17" t="str">
        <f>DEC2HEX(out_col1!B49)</f>
        <v>35CA</v>
      </c>
      <c r="C49" s="17" t="str">
        <f>DEC2HEX(out_col1!C49)</f>
        <v>17AF</v>
      </c>
      <c r="D49" s="17" t="str">
        <f>DEC2HEX(out_col1!D49)</f>
        <v>8B42</v>
      </c>
      <c r="E49" s="30"/>
      <c r="F49" s="17" t="str">
        <f>DEC2HEX(out_col1!F49)</f>
        <v>15CCF</v>
      </c>
    </row>
    <row r="50" spans="1:9">
      <c r="A50" s="17" t="str">
        <f>DEC2HEX(out_col1!A50)</f>
        <v>1219</v>
      </c>
      <c r="B50" s="17" t="str">
        <f>DEC2HEX(out_col1!B50)</f>
        <v>7C9C</v>
      </c>
      <c r="C50" s="17" t="str">
        <f>DEC2HEX(out_col1!C50)</f>
        <v>1B6C</v>
      </c>
      <c r="D50" s="17" t="str">
        <f>DEC2HEX(out_col1!D50)</f>
        <v>1008</v>
      </c>
      <c r="E50" s="30"/>
      <c r="F50" s="17" t="str">
        <f>DEC2HEX(out_col1!F50)</f>
        <v>BA29</v>
      </c>
    </row>
    <row r="51" spans="1:9">
      <c r="A51" s="17" t="str">
        <f>DEC2HEX(out_col1!A51)</f>
        <v>19FA</v>
      </c>
      <c r="B51" s="17" t="str">
        <f>DEC2HEX(out_col1!B51)</f>
        <v>6D4</v>
      </c>
      <c r="C51" s="17" t="str">
        <f>DEC2HEX(out_col1!C51)</f>
        <v>1366</v>
      </c>
      <c r="D51" s="17" t="str">
        <f>DEC2HEX(out_col1!D51)</f>
        <v>15BA</v>
      </c>
      <c r="E51" s="30"/>
      <c r="F51" s="17" t="str">
        <f>DEC2HEX(out_col1!F51)</f>
        <v>49EE</v>
      </c>
    </row>
    <row r="52" spans="1:9">
      <c r="A52" s="17" t="str">
        <f>DEC2HEX(out_col1!A52)</f>
        <v>677C</v>
      </c>
      <c r="B52" s="17" t="str">
        <f>DEC2HEX(out_col1!B52)</f>
        <v>9638</v>
      </c>
      <c r="C52" s="17" t="str">
        <f>DEC2HEX(out_col1!C52)</f>
        <v>40C0</v>
      </c>
      <c r="D52" s="17" t="str">
        <f>DEC2HEX(out_col1!D52)</f>
        <v>14D0</v>
      </c>
      <c r="E52" s="30"/>
      <c r="F52" s="17" t="str">
        <f>DEC2HEX(out_col1!F52)</f>
        <v>15344</v>
      </c>
    </row>
    <row r="53" spans="1:9">
      <c r="A53" s="17" t="str">
        <f>DEC2HEX(out_col1!A53)</f>
        <v>4D30</v>
      </c>
      <c r="B53" s="17" t="str">
        <f>DEC2HEX(out_col1!B53)</f>
        <v>2008</v>
      </c>
      <c r="C53" s="17" t="str">
        <f>DEC2HEX(out_col1!C53)</f>
        <v>7C5</v>
      </c>
      <c r="D53" s="17" t="str">
        <f>DEC2HEX(out_col1!D53)</f>
        <v>747C</v>
      </c>
      <c r="E53" s="30"/>
      <c r="F53" s="17" t="str">
        <f>DEC2HEX(out_col1!F53)</f>
        <v>E979</v>
      </c>
    </row>
    <row r="54" spans="1:9">
      <c r="A54" s="17" t="str">
        <f>DEC2HEX(out_col1!A54)</f>
        <v>450</v>
      </c>
      <c r="B54" s="17" t="str">
        <f>DEC2HEX(out_col1!B54)</f>
        <v>A5B0</v>
      </c>
      <c r="C54" s="17" t="str">
        <f>DEC2HEX(out_col1!C54)</f>
        <v>48AA</v>
      </c>
      <c r="D54" s="17" t="str">
        <f>DEC2HEX(out_col1!D54)</f>
        <v>5554</v>
      </c>
      <c r="E54" s="30"/>
      <c r="F54" s="17" t="str">
        <f>DEC2HEX(out_col1!F54)</f>
        <v>147FE</v>
      </c>
    </row>
    <row r="55" spans="1:9">
      <c r="A55" s="17" t="str">
        <f>DEC2HEX(out_col1!A55)</f>
        <v>9F1E</v>
      </c>
      <c r="B55" s="17" t="str">
        <f>DEC2HEX(out_col1!B55)</f>
        <v>1F9C</v>
      </c>
      <c r="C55" s="17" t="str">
        <f>DEC2HEX(out_col1!C55)</f>
        <v>70</v>
      </c>
      <c r="D55" s="17" t="str">
        <f>DEC2HEX(out_col1!D55)</f>
        <v>C30</v>
      </c>
      <c r="E55" s="30"/>
      <c r="F55" s="17" t="str">
        <f>DEC2HEX(out_col1!F55)</f>
        <v>CB5A</v>
      </c>
    </row>
    <row r="56" spans="1:9">
      <c r="A56" s="17" t="str">
        <f>DEC2HEX(out_col1!A56)</f>
        <v>4200</v>
      </c>
      <c r="B56" s="17" t="str">
        <f>DEC2HEX(out_col1!B56)</f>
        <v>38</v>
      </c>
      <c r="C56" s="17" t="str">
        <f>DEC2HEX(out_col1!C56)</f>
        <v>C418</v>
      </c>
      <c r="D56" s="17" t="str">
        <f>DEC2HEX(out_col1!D56)</f>
        <v>B3D</v>
      </c>
      <c r="E56" s="30"/>
      <c r="F56" s="17" t="str">
        <f>DEC2HEX(out_col1!F56)</f>
        <v>1118D</v>
      </c>
    </row>
    <row r="57" spans="1:9">
      <c r="A57" s="17" t="str">
        <f>DEC2HEX(out_col1!A57)</f>
        <v>263</v>
      </c>
      <c r="B57" s="17" t="str">
        <f>DEC2HEX(out_col1!B57)</f>
        <v>70BC</v>
      </c>
      <c r="C57" s="17" t="str">
        <f>DEC2HEX(out_col1!C57)</f>
        <v>2A7F</v>
      </c>
      <c r="D57" s="17" t="str">
        <f>DEC2HEX(out_col1!D57)</f>
        <v>4440</v>
      </c>
      <c r="E57" s="30"/>
      <c r="F57" s="17" t="str">
        <f>DEC2HEX(out_col1!F57)</f>
        <v>E1DE</v>
      </c>
    </row>
    <row r="58" spans="1:9">
      <c r="A58" s="17" t="str">
        <f>DEC2HEX(out_col1!A58)</f>
        <v>3A02</v>
      </c>
      <c r="B58" s="17" t="str">
        <f>DEC2HEX(out_col1!B58)</f>
        <v>1668</v>
      </c>
      <c r="C58" s="17" t="str">
        <f>DEC2HEX(out_col1!C58)</f>
        <v>3452</v>
      </c>
      <c r="D58" s="17" t="str">
        <f>DEC2HEX(out_col1!D58)</f>
        <v>60F8</v>
      </c>
      <c r="E58" s="30"/>
      <c r="F58" s="17" t="str">
        <f>DEC2HEX(out_col1!F58)</f>
        <v>E5B4</v>
      </c>
    </row>
    <row r="59" spans="1:9">
      <c r="A59" s="17" t="str">
        <f>DEC2HEX(out_col1!A59)</f>
        <v>25D0</v>
      </c>
      <c r="B59" s="17" t="str">
        <f>DEC2HEX(out_col1!B59)</f>
        <v>33AE</v>
      </c>
      <c r="C59" s="17" t="str">
        <f>DEC2HEX(out_col1!C59)</f>
        <v>4FBA</v>
      </c>
      <c r="D59" s="17" t="str">
        <f>DEC2HEX(out_col1!D59)</f>
        <v>8765</v>
      </c>
      <c r="E59" s="30"/>
      <c r="F59" s="17" t="str">
        <f>DEC2HEX(out_col1!F59)</f>
        <v>1309D</v>
      </c>
    </row>
    <row r="60" spans="1:9">
      <c r="A60" s="17" t="str">
        <f>DEC2HEX(out_col1!A60)</f>
        <v>3E0C</v>
      </c>
      <c r="B60" s="17" t="str">
        <f>DEC2HEX(out_col1!B60)</f>
        <v>863D</v>
      </c>
      <c r="C60" s="17" t="str">
        <f>DEC2HEX(out_col1!C60)</f>
        <v>9320</v>
      </c>
      <c r="D60" s="17" t="str">
        <f>DEC2HEX(out_col1!D60)</f>
        <v>5618</v>
      </c>
      <c r="E60" s="31"/>
      <c r="F60" s="17" t="str">
        <f>DEC2HEX(out_col1!F60)</f>
        <v>1AD81</v>
      </c>
    </row>
    <row r="61" spans="1:9">
      <c r="A61" s="17" t="str">
        <f>DEC2HEX(out_col1!A61)</f>
        <v>5C08</v>
      </c>
      <c r="B61" s="17" t="str">
        <f>DEC2HEX(out_col1!B61)</f>
        <v>ED</v>
      </c>
      <c r="C61" s="17" t="str">
        <f>DEC2HEX(out_col1!C61)</f>
        <v>1642</v>
      </c>
      <c r="D61" s="17" t="str">
        <f>DEC2HEX(out_col1!D61)</f>
        <v>BC</v>
      </c>
      <c r="E61" s="29"/>
      <c r="F61" s="17" t="str">
        <f>DEC2HEX(out_col1!F61)</f>
        <v>73F3</v>
      </c>
      <c r="G61" s="19"/>
      <c r="H61" s="26">
        <v>1</v>
      </c>
      <c r="I61" s="26" t="str">
        <f>DEC2HEX(out_col1!I61)</f>
        <v>354AF</v>
      </c>
    </row>
    <row r="62" spans="1:9">
      <c r="A62" s="17" t="str">
        <f>DEC2HEX(out_col1!A62)</f>
        <v>74E8</v>
      </c>
      <c r="B62" s="17" t="str">
        <f>DEC2HEX(out_col1!B62)</f>
        <v>79C7</v>
      </c>
      <c r="C62" s="17" t="str">
        <f>DEC2HEX(out_col1!C62)</f>
        <v>4A6</v>
      </c>
      <c r="D62" s="17" t="str">
        <f>DEC2HEX(out_col1!D62)</f>
        <v>2370</v>
      </c>
      <c r="E62" s="30"/>
      <c r="F62" s="17" t="str">
        <f>DEC2HEX(out_col1!F62)</f>
        <v>116C5</v>
      </c>
      <c r="H62" s="26">
        <v>2</v>
      </c>
      <c r="I62" s="26" t="str">
        <f>DEC2HEX(out_col1!I62)</f>
        <v>51CF3</v>
      </c>
    </row>
    <row r="63" spans="1:9">
      <c r="A63" s="17" t="str">
        <f>DEC2HEX(out_col1!A63)</f>
        <v>A7FD</v>
      </c>
      <c r="B63" s="17" t="str">
        <f>DEC2HEX(out_col1!B63)</f>
        <v>42E</v>
      </c>
      <c r="C63" s="17" t="str">
        <f>DEC2HEX(out_col1!C63)</f>
        <v>2EB0</v>
      </c>
      <c r="D63" s="17" t="str">
        <f>DEC2HEX(out_col1!D63)</f>
        <v>103E</v>
      </c>
      <c r="E63" s="30"/>
      <c r="F63" s="17" t="str">
        <f>DEC2HEX(out_col1!F63)</f>
        <v>EB19</v>
      </c>
      <c r="H63" s="26">
        <v>3</v>
      </c>
      <c r="I63" s="26" t="str">
        <f>DEC2HEX(out_col1!I63)</f>
        <v>285AC</v>
      </c>
    </row>
    <row r="64" spans="1:9">
      <c r="A64" s="17" t="str">
        <f>DEC2HEX(out_col1!A64)</f>
        <v>BBB9</v>
      </c>
      <c r="B64" s="17" t="str">
        <f>DEC2HEX(out_col1!B64)</f>
        <v>98D3</v>
      </c>
      <c r="C64" s="17" t="str">
        <f>DEC2HEX(out_col1!C64)</f>
        <v>14FA</v>
      </c>
      <c r="D64" s="17" t="str">
        <f>DEC2HEX(out_col1!D64)</f>
        <v>4458</v>
      </c>
      <c r="E64" s="30"/>
      <c r="F64" s="17" t="str">
        <f>DEC2HEX(out_col1!F64)</f>
        <v>1ADDE</v>
      </c>
      <c r="H64" s="26">
        <v>4</v>
      </c>
      <c r="I64" s="26" t="str">
        <f>DEC2HEX(out_col1!I64)</f>
        <v>5A9D4</v>
      </c>
    </row>
    <row r="65" spans="1:9">
      <c r="A65" s="17" t="str">
        <f>DEC2HEX(out_col1!A65)</f>
        <v>2DFD</v>
      </c>
      <c r="B65" s="17" t="str">
        <f>DEC2HEX(out_col1!B65)</f>
        <v>4D58</v>
      </c>
      <c r="C65" s="17" t="str">
        <f>DEC2HEX(out_col1!C65)</f>
        <v>3280</v>
      </c>
      <c r="D65" s="17" t="str">
        <f>DEC2HEX(out_col1!D65)</f>
        <v>18E2</v>
      </c>
      <c r="E65" s="30"/>
      <c r="F65" s="17" t="str">
        <f>DEC2HEX(out_col1!F65)</f>
        <v>C6B7</v>
      </c>
      <c r="H65" s="26">
        <v>5</v>
      </c>
      <c r="I65" s="26" t="str">
        <f>DEC2HEX(out_col1!I65)</f>
        <v>506E6</v>
      </c>
    </row>
    <row r="66" spans="1:9">
      <c r="A66" s="17" t="str">
        <f>DEC2HEX(out_col1!A66)</f>
        <v>2F3A</v>
      </c>
      <c r="B66" s="17" t="str">
        <f>DEC2HEX(out_col1!B66)</f>
        <v>E9C</v>
      </c>
      <c r="C66" s="17" t="str">
        <f>DEC2HEX(out_col1!C66)</f>
        <v>C23D</v>
      </c>
      <c r="D66" s="17" t="str">
        <f>DEC2HEX(out_col1!D66)</f>
        <v>37F8</v>
      </c>
      <c r="E66" s="30"/>
      <c r="F66" s="17" t="str">
        <f>DEC2HEX(out_col1!F66)</f>
        <v>1380B</v>
      </c>
      <c r="H66" s="26" t="s">
        <v>6</v>
      </c>
      <c r="I66" s="26" t="str">
        <f>DEC2HEX(out_col1!I66)</f>
        <v>15A808</v>
      </c>
    </row>
    <row r="67" spans="1:9">
      <c r="A67" s="17" t="str">
        <f>DEC2HEX(out_col1!A67)</f>
        <v>324E</v>
      </c>
      <c r="B67" s="17" t="str">
        <f>DEC2HEX(out_col1!B67)</f>
        <v>732C</v>
      </c>
      <c r="C67" s="17" t="str">
        <f>DEC2HEX(out_col1!C67)</f>
        <v>43D5</v>
      </c>
      <c r="D67" s="17" t="str">
        <f>DEC2HEX(out_col1!D67)</f>
        <v>4BF0</v>
      </c>
      <c r="E67" s="30"/>
      <c r="F67" s="17" t="str">
        <f>DEC2HEX(out_col1!F67)</f>
        <v>1353F</v>
      </c>
    </row>
    <row r="68" spans="1:9">
      <c r="A68" s="17" t="str">
        <f>DEC2HEX(out_col1!A68)</f>
        <v>28B0</v>
      </c>
      <c r="B68" s="17" t="str">
        <f>DEC2HEX(out_col1!B68)</f>
        <v>A20</v>
      </c>
      <c r="C68" s="17" t="str">
        <f>DEC2HEX(out_col1!C68)</f>
        <v>28D4</v>
      </c>
      <c r="D68" s="17" t="str">
        <f>DEC2HEX(out_col1!D68)</f>
        <v>333</v>
      </c>
      <c r="E68" s="30"/>
      <c r="F68" s="17" t="str">
        <f>DEC2HEX(out_col1!F68)</f>
        <v>5ED7</v>
      </c>
    </row>
    <row r="69" spans="1:9">
      <c r="A69" s="17" t="str">
        <f>DEC2HEX(out_col1!A69)</f>
        <v>31EC</v>
      </c>
      <c r="B69" s="17" t="str">
        <f>DEC2HEX(out_col1!B69)</f>
        <v>48CF</v>
      </c>
      <c r="C69" s="17" t="str">
        <f>DEC2HEX(out_col1!C69)</f>
        <v>2FBA</v>
      </c>
      <c r="D69" s="17" t="str">
        <f>DEC2HEX(out_col1!D69)</f>
        <v>6993</v>
      </c>
      <c r="E69" s="30"/>
      <c r="F69" s="17" t="str">
        <f>DEC2HEX(out_col1!F69)</f>
        <v>11408</v>
      </c>
    </row>
    <row r="70" spans="1:9">
      <c r="A70" s="17" t="str">
        <f>DEC2HEX(out_col1!A70)</f>
        <v>8022</v>
      </c>
      <c r="B70" s="17" t="str">
        <f>DEC2HEX(out_col1!B70)</f>
        <v>1F56</v>
      </c>
      <c r="C70" s="17" t="str">
        <f>DEC2HEX(out_col1!C70)</f>
        <v>12C</v>
      </c>
      <c r="D70" s="17" t="str">
        <f>DEC2HEX(out_col1!D70)</f>
        <v>6880</v>
      </c>
      <c r="E70" s="30"/>
      <c r="F70" s="17" t="str">
        <f>DEC2HEX(out_col1!F70)</f>
        <v>10924</v>
      </c>
    </row>
    <row r="71" spans="1:9">
      <c r="A71" s="17" t="str">
        <f>DEC2HEX(out_col1!A71)</f>
        <v>2DFD</v>
      </c>
      <c r="B71" s="17" t="str">
        <f>DEC2HEX(out_col1!B71)</f>
        <v>1D</v>
      </c>
      <c r="C71" s="17" t="str">
        <f>DEC2HEX(out_col1!C71)</f>
        <v>D788</v>
      </c>
      <c r="D71" s="17" t="str">
        <f>DEC2HEX(out_col1!D71)</f>
        <v>2772</v>
      </c>
      <c r="E71" s="30"/>
      <c r="F71" s="17" t="str">
        <f>DEC2HEX(out_col1!F71)</f>
        <v>12D14</v>
      </c>
    </row>
    <row r="72" spans="1:9">
      <c r="A72" s="17" t="str">
        <f>DEC2HEX(out_col1!A72)</f>
        <v>47E4</v>
      </c>
      <c r="B72" s="17" t="str">
        <f>DEC2HEX(out_col1!B72)</f>
        <v>D926</v>
      </c>
      <c r="C72" s="17" t="str">
        <f>DEC2HEX(out_col1!C72)</f>
        <v>2AAA</v>
      </c>
      <c r="D72" s="17" t="str">
        <f>DEC2HEX(out_col1!D72)</f>
        <v>6022</v>
      </c>
      <c r="E72" s="30"/>
      <c r="F72" s="17" t="str">
        <f>DEC2HEX(out_col1!F72)</f>
        <v>1ABD6</v>
      </c>
    </row>
    <row r="73" spans="1:9">
      <c r="A73" s="17" t="str">
        <f>DEC2HEX(out_col1!A73)</f>
        <v>CA7</v>
      </c>
      <c r="B73" s="17" t="str">
        <f>DEC2HEX(out_col1!B73)</f>
        <v>8980</v>
      </c>
      <c r="C73" s="17" t="str">
        <f>DEC2HEX(out_col1!C73)</f>
        <v>6AA4</v>
      </c>
      <c r="D73" s="17" t="str">
        <f>DEC2HEX(out_col1!D73)</f>
        <v>5DD</v>
      </c>
      <c r="E73" s="30"/>
      <c r="F73" s="17" t="str">
        <f>DEC2HEX(out_col1!F73)</f>
        <v>106A8</v>
      </c>
    </row>
    <row r="74" spans="1:9">
      <c r="A74" s="17" t="str">
        <f>DEC2HEX(out_col1!A74)</f>
        <v>D031</v>
      </c>
      <c r="B74" s="17" t="str">
        <f>DEC2HEX(out_col1!B74)</f>
        <v>1EDC</v>
      </c>
      <c r="C74" s="17" t="str">
        <f>DEC2HEX(out_col1!C74)</f>
        <v>BDE0</v>
      </c>
      <c r="D74" s="17" t="str">
        <f>DEC2HEX(out_col1!D74)</f>
        <v>3C13</v>
      </c>
      <c r="E74" s="30"/>
      <c r="F74" s="17" t="str">
        <f>DEC2HEX(out_col1!F74)</f>
        <v>1E900</v>
      </c>
    </row>
    <row r="75" spans="1:9">
      <c r="A75" s="17" t="str">
        <f>DEC2HEX(out_col1!A75)</f>
        <v>4DB0</v>
      </c>
      <c r="B75" s="17" t="str">
        <f>DEC2HEX(out_col1!B75)</f>
        <v>A794</v>
      </c>
      <c r="C75" s="17" t="str">
        <f>DEC2HEX(out_col1!C75)</f>
        <v>4898</v>
      </c>
      <c r="D75" s="17" t="str">
        <f>DEC2HEX(out_col1!D75)</f>
        <v>7142</v>
      </c>
      <c r="E75" s="30"/>
      <c r="F75" s="17" t="str">
        <f>DEC2HEX(out_col1!F75)</f>
        <v>1AF1E</v>
      </c>
    </row>
    <row r="76" spans="1:9">
      <c r="A76" s="17" t="str">
        <f>DEC2HEX(out_col1!A76)</f>
        <v>2142</v>
      </c>
      <c r="B76" s="17" t="str">
        <f>DEC2HEX(out_col1!B76)</f>
        <v>120</v>
      </c>
      <c r="C76" s="17" t="str">
        <f>DEC2HEX(out_col1!C76)</f>
        <v>97E</v>
      </c>
      <c r="D76" s="17" t="str">
        <f>DEC2HEX(out_col1!D76)</f>
        <v>4FBD</v>
      </c>
      <c r="E76" s="30"/>
      <c r="F76" s="17" t="str">
        <f>DEC2HEX(out_col1!F76)</f>
        <v>7B9D</v>
      </c>
    </row>
    <row r="77" spans="1:9">
      <c r="A77" s="17" t="str">
        <f>DEC2HEX(out_col1!A77)</f>
        <v>6A50</v>
      </c>
      <c r="B77" s="17" t="str">
        <f>DEC2HEX(out_col1!B77)</f>
        <v>2344</v>
      </c>
      <c r="C77" s="17" t="str">
        <f>DEC2HEX(out_col1!C77)</f>
        <v>37BC</v>
      </c>
      <c r="D77" s="17" t="str">
        <f>DEC2HEX(out_col1!D77)</f>
        <v>5FC9</v>
      </c>
      <c r="E77" s="30"/>
      <c r="F77" s="17" t="str">
        <f>DEC2HEX(out_col1!F77)</f>
        <v>12519</v>
      </c>
    </row>
    <row r="78" spans="1:9">
      <c r="A78" s="17" t="str">
        <f>DEC2HEX(out_col1!A78)</f>
        <v>189C</v>
      </c>
      <c r="B78" s="17" t="str">
        <f>DEC2HEX(out_col1!B78)</f>
        <v>33C</v>
      </c>
      <c r="C78" s="17" t="str">
        <f>DEC2HEX(out_col1!C78)</f>
        <v>153A</v>
      </c>
      <c r="D78" s="17" t="str">
        <f>DEC2HEX(out_col1!D78)</f>
        <v>402</v>
      </c>
      <c r="E78" s="30"/>
      <c r="F78" s="17" t="str">
        <f>DEC2HEX(out_col1!F78)</f>
        <v>3514</v>
      </c>
    </row>
    <row r="79" spans="1:9">
      <c r="A79" s="17" t="str">
        <f>DEC2HEX(out_col1!A79)</f>
        <v>8058</v>
      </c>
      <c r="B79" s="17" t="str">
        <f>DEC2HEX(out_col1!B79)</f>
        <v>3608</v>
      </c>
      <c r="C79" s="17" t="str">
        <f>DEC2HEX(out_col1!C79)</f>
        <v>2FFC</v>
      </c>
      <c r="D79" s="17" t="str">
        <f>DEC2HEX(out_col1!D79)</f>
        <v>1892</v>
      </c>
      <c r="E79" s="30"/>
      <c r="F79" s="17" t="str">
        <f>DEC2HEX(out_col1!F79)</f>
        <v>FEEE</v>
      </c>
    </row>
    <row r="80" spans="1:9">
      <c r="A80" s="17" t="str">
        <f>DEC2HEX(out_col1!A80)</f>
        <v>77A4</v>
      </c>
      <c r="B80" s="17" t="str">
        <f>DEC2HEX(out_col1!B80)</f>
        <v>4158</v>
      </c>
      <c r="C80" s="17" t="str">
        <f>DEC2HEX(out_col1!C80)</f>
        <v>9C0</v>
      </c>
      <c r="D80" s="17" t="str">
        <f>DEC2HEX(out_col1!D80)</f>
        <v>C531</v>
      </c>
      <c r="E80" s="31"/>
      <c r="F80" s="17" t="str">
        <f>DEC2HEX(out_col1!F80)</f>
        <v>187ED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mem_dec</vt:lpstr>
      <vt:lpstr>mem_hex</vt:lpstr>
      <vt:lpstr>out_col0</vt:lpstr>
      <vt:lpstr>hex_out_col0</vt:lpstr>
      <vt:lpstr>out_col1</vt:lpstr>
      <vt:lpstr>hex_out_col1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Volpe</dc:creator>
  <cp:lastModifiedBy>Francesco Volpe</cp:lastModifiedBy>
  <dcterms:created xsi:type="dcterms:W3CDTF">2025-01-18T11:37:49Z</dcterms:created>
  <dcterms:modified xsi:type="dcterms:W3CDTF">2025-02-20T07:07:16Z</dcterms:modified>
</cp:coreProperties>
</file>