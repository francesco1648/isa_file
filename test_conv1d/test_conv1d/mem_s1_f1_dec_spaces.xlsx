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Questa_cartella_di_lavoro" defaultThemeVersion="202300"/>
  <mc:AlternateContent xmlns:mc="http://schemas.openxmlformats.org/markup-compatibility/2006">
    <mc:Choice Requires="x15">
      <x15ac:absPath xmlns:x15ac="http://schemas.microsoft.com/office/spreadsheetml/2010/11/ac" url="C:\Users\Titania\Desktop\ms\lab3\test_conv1d\test_conv1d\"/>
    </mc:Choice>
  </mc:AlternateContent>
  <xr:revisionPtr revIDLastSave="0" documentId="13_ncr:1_{A7A300E0-C90F-47B2-AD39-3B26EC69D870}" xr6:coauthVersionLast="47" xr6:coauthVersionMax="47" xr10:uidLastSave="{00000000-0000-0000-0000-000000000000}"/>
  <bookViews>
    <workbookView xWindow="5820" yWindow="1140" windowWidth="14085" windowHeight="9690" xr2:uid="{0D9A6957-12B8-4496-A02D-3AD1E515C0C0}"/>
  </bookViews>
  <sheets>
    <sheet name="mem_dec" sheetId="1" r:id="rId1"/>
    <sheet name="mem_hex" sheetId="6" r:id="rId2"/>
    <sheet name="out_col0" sheetId="2" r:id="rId3"/>
    <sheet name="hex_out_col0" sheetId="5" r:id="rId4"/>
    <sheet name="out_col1" sheetId="3" r:id="rId5"/>
    <sheet name="hex_out_col1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2" l="1"/>
  <c r="B37" i="2"/>
  <c r="C37" i="2"/>
  <c r="D37" i="2"/>
  <c r="A38" i="2"/>
  <c r="B38" i="2"/>
  <c r="C38" i="2"/>
  <c r="D38" i="2"/>
  <c r="A39" i="2"/>
  <c r="B39" i="2"/>
  <c r="C39" i="2"/>
  <c r="D39" i="2"/>
  <c r="A40" i="2"/>
  <c r="B40" i="2"/>
  <c r="C40" i="2"/>
  <c r="D40" i="2"/>
  <c r="B36" i="2"/>
  <c r="C36" i="2"/>
  <c r="D36" i="2"/>
  <c r="A32" i="2"/>
  <c r="B32" i="2"/>
  <c r="C32" i="2"/>
  <c r="D32" i="2"/>
  <c r="A33" i="2"/>
  <c r="B33" i="2"/>
  <c r="C33" i="2"/>
  <c r="D33" i="2"/>
  <c r="A34" i="2"/>
  <c r="B34" i="2"/>
  <c r="C34" i="2"/>
  <c r="D34" i="2"/>
  <c r="A35" i="2"/>
  <c r="B35" i="2"/>
  <c r="C35" i="2"/>
  <c r="D35" i="2"/>
  <c r="B31" i="2"/>
  <c r="C31" i="2"/>
  <c r="D31" i="2"/>
  <c r="A27" i="2"/>
  <c r="B27" i="2"/>
  <c r="C27" i="2"/>
  <c r="D27" i="2"/>
  <c r="A28" i="2"/>
  <c r="B28" i="2"/>
  <c r="C28" i="2"/>
  <c r="D28" i="2"/>
  <c r="A29" i="2"/>
  <c r="B29" i="2"/>
  <c r="C29" i="2"/>
  <c r="D29" i="2"/>
  <c r="A30" i="2"/>
  <c r="B30" i="2"/>
  <c r="C30" i="2"/>
  <c r="D30" i="2"/>
  <c r="B26" i="2"/>
  <c r="C26" i="2"/>
  <c r="D26" i="2"/>
  <c r="A22" i="2"/>
  <c r="B22" i="2"/>
  <c r="C22" i="2"/>
  <c r="D22" i="2"/>
  <c r="A23" i="2"/>
  <c r="B23" i="2"/>
  <c r="C23" i="2"/>
  <c r="D23" i="2"/>
  <c r="A24" i="2"/>
  <c r="B24" i="2"/>
  <c r="C24" i="2"/>
  <c r="D24" i="2"/>
  <c r="A25" i="2"/>
  <c r="B25" i="2"/>
  <c r="C25" i="2"/>
  <c r="D25" i="2"/>
  <c r="B21" i="2"/>
  <c r="C21" i="2"/>
  <c r="D21" i="2"/>
  <c r="A17" i="3" l="1"/>
  <c r="A17" i="4" s="1"/>
  <c r="B17" i="3"/>
  <c r="B17" i="4" s="1"/>
  <c r="C17" i="3"/>
  <c r="C17" i="4" s="1"/>
  <c r="D17" i="3"/>
  <c r="D17" i="4" s="1"/>
  <c r="A18" i="3"/>
  <c r="A18" i="4" s="1"/>
  <c r="B18" i="3"/>
  <c r="B18" i="4" s="1"/>
  <c r="C18" i="3"/>
  <c r="C18" i="4" s="1"/>
  <c r="D18" i="3"/>
  <c r="D18" i="4" s="1"/>
  <c r="A19" i="3"/>
  <c r="A19" i="4" s="1"/>
  <c r="B19" i="3"/>
  <c r="B19" i="4" s="1"/>
  <c r="C19" i="3"/>
  <c r="C19" i="4" s="1"/>
  <c r="D19" i="3"/>
  <c r="D19" i="4" s="1"/>
  <c r="A20" i="3"/>
  <c r="A20" i="4" s="1"/>
  <c r="B20" i="3"/>
  <c r="B20" i="4" s="1"/>
  <c r="C20" i="3"/>
  <c r="C20" i="4" s="1"/>
  <c r="D20" i="3"/>
  <c r="D20" i="4" s="1"/>
  <c r="B16" i="3"/>
  <c r="B16" i="4" s="1"/>
  <c r="C16" i="3"/>
  <c r="C16" i="4" s="1"/>
  <c r="D16" i="3"/>
  <c r="D16" i="4" s="1"/>
  <c r="A12" i="3"/>
  <c r="A12" i="4" s="1"/>
  <c r="B12" i="3"/>
  <c r="B12" i="4" s="1"/>
  <c r="C12" i="3"/>
  <c r="C12" i="4" s="1"/>
  <c r="D12" i="3"/>
  <c r="D12" i="4" s="1"/>
  <c r="A13" i="3"/>
  <c r="A13" i="4" s="1"/>
  <c r="B13" i="3"/>
  <c r="B13" i="4" s="1"/>
  <c r="C13" i="3"/>
  <c r="C13" i="4" s="1"/>
  <c r="D13" i="3"/>
  <c r="D13" i="4" s="1"/>
  <c r="A14" i="3"/>
  <c r="A14" i="4" s="1"/>
  <c r="B14" i="3"/>
  <c r="B14" i="4" s="1"/>
  <c r="C14" i="3"/>
  <c r="C14" i="4" s="1"/>
  <c r="D14" i="3"/>
  <c r="D14" i="4" s="1"/>
  <c r="A15" i="3"/>
  <c r="A15" i="4" s="1"/>
  <c r="B15" i="3"/>
  <c r="B15" i="4" s="1"/>
  <c r="C15" i="3"/>
  <c r="C15" i="4" s="1"/>
  <c r="D15" i="3"/>
  <c r="D15" i="4" s="1"/>
  <c r="B11" i="3"/>
  <c r="B11" i="4" s="1"/>
  <c r="C11" i="3"/>
  <c r="C11" i="4" s="1"/>
  <c r="D11" i="3"/>
  <c r="D11" i="4" s="1"/>
  <c r="A7" i="3"/>
  <c r="A7" i="4" s="1"/>
  <c r="B7" i="3"/>
  <c r="B7" i="4" s="1"/>
  <c r="C7" i="3"/>
  <c r="C7" i="4" s="1"/>
  <c r="D7" i="3"/>
  <c r="D7" i="4" s="1"/>
  <c r="A8" i="3"/>
  <c r="A8" i="4" s="1"/>
  <c r="B8" i="3"/>
  <c r="B8" i="4" s="1"/>
  <c r="C8" i="3"/>
  <c r="C8" i="4" s="1"/>
  <c r="D8" i="3"/>
  <c r="D8" i="4" s="1"/>
  <c r="A9" i="3"/>
  <c r="A9" i="4" s="1"/>
  <c r="B9" i="3"/>
  <c r="B9" i="4" s="1"/>
  <c r="C9" i="3"/>
  <c r="C9" i="4" s="1"/>
  <c r="D9" i="3"/>
  <c r="D9" i="4" s="1"/>
  <c r="A10" i="3"/>
  <c r="A10" i="4" s="1"/>
  <c r="B10" i="3"/>
  <c r="B10" i="4" s="1"/>
  <c r="C10" i="3"/>
  <c r="C10" i="4" s="1"/>
  <c r="D10" i="3"/>
  <c r="D10" i="4" s="1"/>
  <c r="B6" i="3"/>
  <c r="B6" i="4" s="1"/>
  <c r="C6" i="3"/>
  <c r="C6" i="4" s="1"/>
  <c r="D6" i="3"/>
  <c r="D6" i="4" s="1"/>
  <c r="A2" i="3"/>
  <c r="A2" i="4" s="1"/>
  <c r="B2" i="3"/>
  <c r="B2" i="4" s="1"/>
  <c r="C2" i="3"/>
  <c r="C2" i="4" s="1"/>
  <c r="D2" i="3"/>
  <c r="D2" i="4" s="1"/>
  <c r="A3" i="3"/>
  <c r="A3" i="4" s="1"/>
  <c r="B3" i="3"/>
  <c r="B3" i="4" s="1"/>
  <c r="C3" i="3"/>
  <c r="C3" i="4" s="1"/>
  <c r="D3" i="3"/>
  <c r="D3" i="4" s="1"/>
  <c r="A4" i="3"/>
  <c r="A4" i="4" s="1"/>
  <c r="B4" i="3"/>
  <c r="B4" i="4" s="1"/>
  <c r="C4" i="3"/>
  <c r="C4" i="4" s="1"/>
  <c r="D4" i="3"/>
  <c r="D4" i="4" s="1"/>
  <c r="A5" i="3"/>
  <c r="A5" i="4" s="1"/>
  <c r="B5" i="3"/>
  <c r="B5" i="4" s="1"/>
  <c r="C5" i="3"/>
  <c r="C5" i="4" s="1"/>
  <c r="D5" i="3"/>
  <c r="D5" i="4" s="1"/>
  <c r="B1" i="3"/>
  <c r="B1" i="4" s="1"/>
  <c r="C1" i="3"/>
  <c r="C1" i="4" s="1"/>
  <c r="D1" i="3"/>
  <c r="D1" i="4" s="1"/>
  <c r="G27" i="1"/>
  <c r="A66" i="3" l="1"/>
  <c r="A66" i="4" s="1"/>
  <c r="B66" i="3"/>
  <c r="B66" i="4" s="1"/>
  <c r="C66" i="3"/>
  <c r="C66" i="4" s="1"/>
  <c r="D66" i="3"/>
  <c r="D66" i="4" s="1"/>
  <c r="A67" i="3"/>
  <c r="A67" i="4" s="1"/>
  <c r="B67" i="3"/>
  <c r="B67" i="4" s="1"/>
  <c r="C67" i="3"/>
  <c r="C67" i="4" s="1"/>
  <c r="D67" i="3"/>
  <c r="D67" i="4" s="1"/>
  <c r="A68" i="3"/>
  <c r="A68" i="4" s="1"/>
  <c r="B68" i="3"/>
  <c r="B68" i="4" s="1"/>
  <c r="C68" i="3"/>
  <c r="C68" i="4" s="1"/>
  <c r="D68" i="3"/>
  <c r="D68" i="4" s="1"/>
  <c r="A69" i="3"/>
  <c r="A69" i="4" s="1"/>
  <c r="B69" i="3"/>
  <c r="B69" i="4" s="1"/>
  <c r="C69" i="3"/>
  <c r="C69" i="4" s="1"/>
  <c r="D69" i="3"/>
  <c r="D69" i="4" s="1"/>
  <c r="A70" i="3"/>
  <c r="A70" i="4" s="1"/>
  <c r="B70" i="3"/>
  <c r="B70" i="4" s="1"/>
  <c r="C70" i="3"/>
  <c r="C70" i="4" s="1"/>
  <c r="D70" i="3"/>
  <c r="D70" i="4" s="1"/>
  <c r="A71" i="3"/>
  <c r="A71" i="4" s="1"/>
  <c r="B71" i="3"/>
  <c r="B71" i="4" s="1"/>
  <c r="C71" i="3"/>
  <c r="C71" i="4" s="1"/>
  <c r="D71" i="3"/>
  <c r="D71" i="4" s="1"/>
  <c r="A72" i="3"/>
  <c r="A72" i="4" s="1"/>
  <c r="B72" i="3"/>
  <c r="B72" i="4" s="1"/>
  <c r="C72" i="3"/>
  <c r="C72" i="4" s="1"/>
  <c r="D72" i="3"/>
  <c r="D72" i="4" s="1"/>
  <c r="A73" i="3"/>
  <c r="A73" i="4" s="1"/>
  <c r="B73" i="3"/>
  <c r="B73" i="4" s="1"/>
  <c r="C73" i="3"/>
  <c r="C73" i="4" s="1"/>
  <c r="D73" i="3"/>
  <c r="D73" i="4" s="1"/>
  <c r="A74" i="3"/>
  <c r="A74" i="4" s="1"/>
  <c r="B74" i="3"/>
  <c r="B74" i="4" s="1"/>
  <c r="C74" i="3"/>
  <c r="C74" i="4" s="1"/>
  <c r="D74" i="3"/>
  <c r="D74" i="4" s="1"/>
  <c r="A75" i="3"/>
  <c r="A75" i="4" s="1"/>
  <c r="B75" i="3"/>
  <c r="B75" i="4" s="1"/>
  <c r="C75" i="3"/>
  <c r="C75" i="4" s="1"/>
  <c r="D75" i="3"/>
  <c r="D75" i="4" s="1"/>
  <c r="A76" i="3"/>
  <c r="A76" i="4" s="1"/>
  <c r="B76" i="3"/>
  <c r="B76" i="4" s="1"/>
  <c r="C76" i="3"/>
  <c r="C76" i="4" s="1"/>
  <c r="D76" i="3"/>
  <c r="D76" i="4" s="1"/>
  <c r="A77" i="3"/>
  <c r="A77" i="4" s="1"/>
  <c r="B77" i="3"/>
  <c r="B77" i="4" s="1"/>
  <c r="C77" i="3"/>
  <c r="C77" i="4" s="1"/>
  <c r="D77" i="3"/>
  <c r="D77" i="4" s="1"/>
  <c r="A78" i="3"/>
  <c r="A78" i="4" s="1"/>
  <c r="B78" i="3"/>
  <c r="B78" i="4" s="1"/>
  <c r="C78" i="3"/>
  <c r="C78" i="4" s="1"/>
  <c r="D78" i="3"/>
  <c r="D78" i="4" s="1"/>
  <c r="A79" i="3"/>
  <c r="A79" i="4" s="1"/>
  <c r="B79" i="3"/>
  <c r="B79" i="4" s="1"/>
  <c r="C79" i="3"/>
  <c r="C79" i="4" s="1"/>
  <c r="D79" i="3"/>
  <c r="D79" i="4" s="1"/>
  <c r="A80" i="3"/>
  <c r="A80" i="4" s="1"/>
  <c r="B80" i="3"/>
  <c r="B80" i="4" s="1"/>
  <c r="C80" i="3"/>
  <c r="C80" i="4" s="1"/>
  <c r="D80" i="3"/>
  <c r="D80" i="4" s="1"/>
  <c r="A62" i="3"/>
  <c r="A62" i="4" s="1"/>
  <c r="B62" i="3"/>
  <c r="B62" i="4" s="1"/>
  <c r="C62" i="3"/>
  <c r="C62" i="4" s="1"/>
  <c r="D62" i="3"/>
  <c r="D62" i="4" s="1"/>
  <c r="A63" i="3"/>
  <c r="A63" i="4" s="1"/>
  <c r="B63" i="3"/>
  <c r="B63" i="4" s="1"/>
  <c r="C63" i="3"/>
  <c r="C63" i="4" s="1"/>
  <c r="D63" i="3"/>
  <c r="D63" i="4" s="1"/>
  <c r="A64" i="3"/>
  <c r="A64" i="4" s="1"/>
  <c r="B64" i="3"/>
  <c r="B64" i="4" s="1"/>
  <c r="C64" i="3"/>
  <c r="C64" i="4" s="1"/>
  <c r="D64" i="3"/>
  <c r="D64" i="4" s="1"/>
  <c r="A65" i="3"/>
  <c r="A65" i="4" s="1"/>
  <c r="B65" i="3"/>
  <c r="B65" i="4" s="1"/>
  <c r="C65" i="3"/>
  <c r="C65" i="4" s="1"/>
  <c r="D65" i="3"/>
  <c r="D65" i="4" s="1"/>
  <c r="B61" i="3"/>
  <c r="B61" i="4" s="1"/>
  <c r="C61" i="3"/>
  <c r="C61" i="4" s="1"/>
  <c r="D61" i="3"/>
  <c r="D61" i="4" s="1"/>
  <c r="A61" i="3"/>
  <c r="A61" i="4" s="1"/>
  <c r="A61" i="2"/>
  <c r="H65" i="5"/>
  <c r="H64" i="5"/>
  <c r="H63" i="5"/>
  <c r="H62" i="5"/>
  <c r="H61" i="5"/>
  <c r="H45" i="5"/>
  <c r="H44" i="5"/>
  <c r="H43" i="5"/>
  <c r="H42" i="5"/>
  <c r="H41" i="5"/>
  <c r="H25" i="5"/>
  <c r="H24" i="5"/>
  <c r="H23" i="5"/>
  <c r="H22" i="5"/>
  <c r="H21" i="5"/>
  <c r="H2" i="5"/>
  <c r="H3" i="5"/>
  <c r="H4" i="5"/>
  <c r="H5" i="5"/>
  <c r="A109" i="6"/>
  <c r="B109" i="6"/>
  <c r="C109" i="6"/>
  <c r="D109" i="6"/>
  <c r="A110" i="6"/>
  <c r="B110" i="6"/>
  <c r="C110" i="6"/>
  <c r="D110" i="6"/>
  <c r="A111" i="6"/>
  <c r="B111" i="6"/>
  <c r="C111" i="6"/>
  <c r="D111" i="6"/>
  <c r="A112" i="6"/>
  <c r="B112" i="6"/>
  <c r="C112" i="6"/>
  <c r="D112" i="6"/>
  <c r="A113" i="6"/>
  <c r="B113" i="6"/>
  <c r="C113" i="6"/>
  <c r="D113" i="6"/>
  <c r="A114" i="6"/>
  <c r="B114" i="6"/>
  <c r="C114" i="6"/>
  <c r="D114" i="6"/>
  <c r="A115" i="6"/>
  <c r="B115" i="6"/>
  <c r="C115" i="6"/>
  <c r="D115" i="6"/>
  <c r="A116" i="6"/>
  <c r="B116" i="6"/>
  <c r="C116" i="6"/>
  <c r="D116" i="6"/>
  <c r="A117" i="6"/>
  <c r="B117" i="6"/>
  <c r="C117" i="6"/>
  <c r="D117" i="6"/>
  <c r="A118" i="6"/>
  <c r="B118" i="6"/>
  <c r="C118" i="6"/>
  <c r="D118" i="6"/>
  <c r="A119" i="6"/>
  <c r="B119" i="6"/>
  <c r="C119" i="6"/>
  <c r="D119" i="6"/>
  <c r="A120" i="6"/>
  <c r="B120" i="6"/>
  <c r="C120" i="6"/>
  <c r="D120" i="6"/>
  <c r="A121" i="6"/>
  <c r="B121" i="6"/>
  <c r="C121" i="6"/>
  <c r="D121" i="6"/>
  <c r="A122" i="6"/>
  <c r="B122" i="6"/>
  <c r="C122" i="6"/>
  <c r="D122" i="6"/>
  <c r="A123" i="6"/>
  <c r="B123" i="6"/>
  <c r="C123" i="6"/>
  <c r="D123" i="6"/>
  <c r="A124" i="6"/>
  <c r="B124" i="6"/>
  <c r="C124" i="6"/>
  <c r="D124" i="6"/>
  <c r="A125" i="6"/>
  <c r="B125" i="6"/>
  <c r="C125" i="6"/>
  <c r="D125" i="6"/>
  <c r="A126" i="6"/>
  <c r="B126" i="6"/>
  <c r="C126" i="6"/>
  <c r="D126" i="6"/>
  <c r="A127" i="6"/>
  <c r="B127" i="6"/>
  <c r="C127" i="6"/>
  <c r="D127" i="6"/>
  <c r="A128" i="6"/>
  <c r="B128" i="6"/>
  <c r="C128" i="6"/>
  <c r="D128" i="6"/>
  <c r="A129" i="6"/>
  <c r="B129" i="6"/>
  <c r="C129" i="6"/>
  <c r="D129" i="6"/>
  <c r="A130" i="6"/>
  <c r="B130" i="6"/>
  <c r="C130" i="6"/>
  <c r="D130" i="6"/>
  <c r="A131" i="6"/>
  <c r="B131" i="6"/>
  <c r="C131" i="6"/>
  <c r="D131" i="6"/>
  <c r="A132" i="6"/>
  <c r="B132" i="6"/>
  <c r="C132" i="6"/>
  <c r="D132" i="6"/>
  <c r="A133" i="6"/>
  <c r="B133" i="6"/>
  <c r="C133" i="6"/>
  <c r="D133" i="6"/>
  <c r="A134" i="6"/>
  <c r="B134" i="6"/>
  <c r="C134" i="6"/>
  <c r="D134" i="6"/>
  <c r="A135" i="6"/>
  <c r="B135" i="6"/>
  <c r="C135" i="6"/>
  <c r="D135" i="6"/>
  <c r="A136" i="6"/>
  <c r="B136" i="6"/>
  <c r="C136" i="6"/>
  <c r="D136" i="6"/>
  <c r="A137" i="6"/>
  <c r="B137" i="6"/>
  <c r="C137" i="6"/>
  <c r="D137" i="6"/>
  <c r="A138" i="6"/>
  <c r="B138" i="6"/>
  <c r="C138" i="6"/>
  <c r="D138" i="6"/>
  <c r="A139" i="6"/>
  <c r="B139" i="6"/>
  <c r="C139" i="6"/>
  <c r="D139" i="6"/>
  <c r="A140" i="6"/>
  <c r="B140" i="6"/>
  <c r="C140" i="6"/>
  <c r="D140" i="6"/>
  <c r="A141" i="6"/>
  <c r="B141" i="6"/>
  <c r="C141" i="6"/>
  <c r="D141" i="6"/>
  <c r="A142" i="6"/>
  <c r="B142" i="6"/>
  <c r="C142" i="6"/>
  <c r="D142" i="6"/>
  <c r="A143" i="6"/>
  <c r="B143" i="6"/>
  <c r="C143" i="6"/>
  <c r="D143" i="6"/>
  <c r="A144" i="6"/>
  <c r="B144" i="6"/>
  <c r="C144" i="6"/>
  <c r="D144" i="6"/>
  <c r="A145" i="6"/>
  <c r="B145" i="6"/>
  <c r="C145" i="6"/>
  <c r="D145" i="6"/>
  <c r="A146" i="6"/>
  <c r="B146" i="6"/>
  <c r="C146" i="6"/>
  <c r="D146" i="6"/>
  <c r="A147" i="6"/>
  <c r="B147" i="6"/>
  <c r="C147" i="6"/>
  <c r="D147" i="6"/>
  <c r="A148" i="6"/>
  <c r="B148" i="6"/>
  <c r="C148" i="6"/>
  <c r="D148" i="6"/>
  <c r="A149" i="6"/>
  <c r="B149" i="6"/>
  <c r="C149" i="6"/>
  <c r="D149" i="6"/>
  <c r="A150" i="6"/>
  <c r="B150" i="6"/>
  <c r="C150" i="6"/>
  <c r="D150" i="6"/>
  <c r="A151" i="6"/>
  <c r="B151" i="6"/>
  <c r="C151" i="6"/>
  <c r="D151" i="6"/>
  <c r="A152" i="6"/>
  <c r="B152" i="6"/>
  <c r="C152" i="6"/>
  <c r="D152" i="6"/>
  <c r="A153" i="6"/>
  <c r="B153" i="6"/>
  <c r="C153" i="6"/>
  <c r="D153" i="6"/>
  <c r="A154" i="6"/>
  <c r="B154" i="6"/>
  <c r="C154" i="6"/>
  <c r="D154" i="6"/>
  <c r="A2" i="6"/>
  <c r="B2" i="6"/>
  <c r="C2" i="6"/>
  <c r="D2" i="6"/>
  <c r="A3" i="6"/>
  <c r="B3" i="6"/>
  <c r="C3" i="6"/>
  <c r="D3" i="6"/>
  <c r="A4" i="6"/>
  <c r="B4" i="6"/>
  <c r="C4" i="6"/>
  <c r="D4" i="6"/>
  <c r="A5" i="6"/>
  <c r="B5" i="6"/>
  <c r="C5" i="6"/>
  <c r="D5" i="6"/>
  <c r="A6" i="6"/>
  <c r="B6" i="6"/>
  <c r="C6" i="6"/>
  <c r="D6" i="6"/>
  <c r="A7" i="6"/>
  <c r="B7" i="6"/>
  <c r="C7" i="6"/>
  <c r="D7" i="6"/>
  <c r="A8" i="6"/>
  <c r="B8" i="6"/>
  <c r="C8" i="6"/>
  <c r="D8" i="6"/>
  <c r="A9" i="6"/>
  <c r="B9" i="6"/>
  <c r="C9" i="6"/>
  <c r="D9" i="6"/>
  <c r="A10" i="6"/>
  <c r="B10" i="6"/>
  <c r="C10" i="6"/>
  <c r="D10" i="6"/>
  <c r="A11" i="6"/>
  <c r="B11" i="6"/>
  <c r="C11" i="6"/>
  <c r="D11" i="6"/>
  <c r="A12" i="6"/>
  <c r="B12" i="6"/>
  <c r="C12" i="6"/>
  <c r="D12" i="6"/>
  <c r="A13" i="6"/>
  <c r="B13" i="6"/>
  <c r="C13" i="6"/>
  <c r="D13" i="6"/>
  <c r="A14" i="6"/>
  <c r="B14" i="6"/>
  <c r="C14" i="6"/>
  <c r="D14" i="6"/>
  <c r="A15" i="6"/>
  <c r="B15" i="6"/>
  <c r="C15" i="6"/>
  <c r="D15" i="6"/>
  <c r="A16" i="6"/>
  <c r="B16" i="6"/>
  <c r="C16" i="6"/>
  <c r="D16" i="6"/>
  <c r="A17" i="6"/>
  <c r="B17" i="6"/>
  <c r="C17" i="6"/>
  <c r="D17" i="6"/>
  <c r="A18" i="6"/>
  <c r="B18" i="6"/>
  <c r="C18" i="6"/>
  <c r="D18" i="6"/>
  <c r="A19" i="6"/>
  <c r="B19" i="6"/>
  <c r="C19" i="6"/>
  <c r="D19" i="6"/>
  <c r="A20" i="6"/>
  <c r="B20" i="6"/>
  <c r="C20" i="6"/>
  <c r="D20" i="6"/>
  <c r="A21" i="6"/>
  <c r="B21" i="6"/>
  <c r="C21" i="6"/>
  <c r="D21" i="6"/>
  <c r="A22" i="6"/>
  <c r="B22" i="6"/>
  <c r="C22" i="6"/>
  <c r="D22" i="6"/>
  <c r="A23" i="6"/>
  <c r="B23" i="6"/>
  <c r="C23" i="6"/>
  <c r="D23" i="6"/>
  <c r="A24" i="6"/>
  <c r="B24" i="6"/>
  <c r="C24" i="6"/>
  <c r="D24" i="6"/>
  <c r="A25" i="6"/>
  <c r="B25" i="6"/>
  <c r="C25" i="6"/>
  <c r="D25" i="6"/>
  <c r="A26" i="6"/>
  <c r="B26" i="6"/>
  <c r="C26" i="6"/>
  <c r="D26" i="6"/>
  <c r="A27" i="6"/>
  <c r="B27" i="6"/>
  <c r="C27" i="6"/>
  <c r="D27" i="6"/>
  <c r="A28" i="6"/>
  <c r="B28" i="6"/>
  <c r="C28" i="6"/>
  <c r="D28" i="6"/>
  <c r="A29" i="6"/>
  <c r="B29" i="6"/>
  <c r="C29" i="6"/>
  <c r="D29" i="6"/>
  <c r="A30" i="6"/>
  <c r="B30" i="6"/>
  <c r="C30" i="6"/>
  <c r="D30" i="6"/>
  <c r="A31" i="6"/>
  <c r="B31" i="6"/>
  <c r="C31" i="6"/>
  <c r="D31" i="6"/>
  <c r="A32" i="6"/>
  <c r="B32" i="6"/>
  <c r="C32" i="6"/>
  <c r="D32" i="6"/>
  <c r="A33" i="6"/>
  <c r="B33" i="6"/>
  <c r="C33" i="6"/>
  <c r="D33" i="6"/>
  <c r="A34" i="6"/>
  <c r="B34" i="6"/>
  <c r="C34" i="6"/>
  <c r="D34" i="6"/>
  <c r="A35" i="6"/>
  <c r="B35" i="6"/>
  <c r="C35" i="6"/>
  <c r="D35" i="6"/>
  <c r="A36" i="6"/>
  <c r="B36" i="6"/>
  <c r="C36" i="6"/>
  <c r="D36" i="6"/>
  <c r="A37" i="6"/>
  <c r="B37" i="6"/>
  <c r="C37" i="6"/>
  <c r="D37" i="6"/>
  <c r="A38" i="6"/>
  <c r="B38" i="6"/>
  <c r="C38" i="6"/>
  <c r="D38" i="6"/>
  <c r="A39" i="6"/>
  <c r="B39" i="6"/>
  <c r="C39" i="6"/>
  <c r="D39" i="6"/>
  <c r="A40" i="6"/>
  <c r="B40" i="6"/>
  <c r="C40" i="6"/>
  <c r="D40" i="6"/>
  <c r="A41" i="6"/>
  <c r="B41" i="6"/>
  <c r="C41" i="6"/>
  <c r="D41" i="6"/>
  <c r="A42" i="6"/>
  <c r="B42" i="6"/>
  <c r="C42" i="6"/>
  <c r="D42" i="6"/>
  <c r="A43" i="6"/>
  <c r="B43" i="6"/>
  <c r="C43" i="6"/>
  <c r="D43" i="6"/>
  <c r="A44" i="6"/>
  <c r="B44" i="6"/>
  <c r="C44" i="6"/>
  <c r="D44" i="6"/>
  <c r="A45" i="6"/>
  <c r="B45" i="6"/>
  <c r="C45" i="6"/>
  <c r="D45" i="6"/>
  <c r="A46" i="6"/>
  <c r="B46" i="6"/>
  <c r="C46" i="6"/>
  <c r="D46" i="6"/>
  <c r="A47" i="6"/>
  <c r="B47" i="6"/>
  <c r="C47" i="6"/>
  <c r="D47" i="6"/>
  <c r="A48" i="6"/>
  <c r="B48" i="6"/>
  <c r="C48" i="6"/>
  <c r="D48" i="6"/>
  <c r="A49" i="6"/>
  <c r="B49" i="6"/>
  <c r="C49" i="6"/>
  <c r="D49" i="6"/>
  <c r="A50" i="6"/>
  <c r="B50" i="6"/>
  <c r="C50" i="6"/>
  <c r="D50" i="6"/>
  <c r="A51" i="6"/>
  <c r="B51" i="6"/>
  <c r="C51" i="6"/>
  <c r="D51" i="6"/>
  <c r="A52" i="6"/>
  <c r="B52" i="6"/>
  <c r="C52" i="6"/>
  <c r="D52" i="6"/>
  <c r="A53" i="6"/>
  <c r="B53" i="6"/>
  <c r="C53" i="6"/>
  <c r="D53" i="6"/>
  <c r="A54" i="6"/>
  <c r="B54" i="6"/>
  <c r="C54" i="6"/>
  <c r="D54" i="6"/>
  <c r="A55" i="6"/>
  <c r="B55" i="6"/>
  <c r="C55" i="6"/>
  <c r="D55" i="6"/>
  <c r="A56" i="6"/>
  <c r="B56" i="6"/>
  <c r="C56" i="6"/>
  <c r="D56" i="6"/>
  <c r="A57" i="6"/>
  <c r="B57" i="6"/>
  <c r="C57" i="6"/>
  <c r="D57" i="6"/>
  <c r="A58" i="6"/>
  <c r="B58" i="6"/>
  <c r="C58" i="6"/>
  <c r="D58" i="6"/>
  <c r="A59" i="6"/>
  <c r="B59" i="6"/>
  <c r="C59" i="6"/>
  <c r="D59" i="6"/>
  <c r="A60" i="6"/>
  <c r="B60" i="6"/>
  <c r="C60" i="6"/>
  <c r="D60" i="6"/>
  <c r="A61" i="6"/>
  <c r="B61" i="6"/>
  <c r="C61" i="6"/>
  <c r="D61" i="6"/>
  <c r="A62" i="6"/>
  <c r="B62" i="6"/>
  <c r="C62" i="6"/>
  <c r="D62" i="6"/>
  <c r="A63" i="6"/>
  <c r="B63" i="6"/>
  <c r="C63" i="6"/>
  <c r="D63" i="6"/>
  <c r="A64" i="6"/>
  <c r="B64" i="6"/>
  <c r="C64" i="6"/>
  <c r="D64" i="6"/>
  <c r="A65" i="6"/>
  <c r="B65" i="6"/>
  <c r="C65" i="6"/>
  <c r="D65" i="6"/>
  <c r="A66" i="6"/>
  <c r="B66" i="6"/>
  <c r="C66" i="6"/>
  <c r="D66" i="6"/>
  <c r="A67" i="6"/>
  <c r="B67" i="6"/>
  <c r="C67" i="6"/>
  <c r="D67" i="6"/>
  <c r="A68" i="6"/>
  <c r="B68" i="6"/>
  <c r="C68" i="6"/>
  <c r="D68" i="6"/>
  <c r="A69" i="6"/>
  <c r="B69" i="6"/>
  <c r="C69" i="6"/>
  <c r="D69" i="6"/>
  <c r="A70" i="6"/>
  <c r="B70" i="6"/>
  <c r="C70" i="6"/>
  <c r="D70" i="6"/>
  <c r="A71" i="6"/>
  <c r="B71" i="6"/>
  <c r="C71" i="6"/>
  <c r="D71" i="6"/>
  <c r="A72" i="6"/>
  <c r="B72" i="6"/>
  <c r="C72" i="6"/>
  <c r="D72" i="6"/>
  <c r="A73" i="6"/>
  <c r="B73" i="6"/>
  <c r="C73" i="6"/>
  <c r="D73" i="6"/>
  <c r="A74" i="6"/>
  <c r="B74" i="6"/>
  <c r="C74" i="6"/>
  <c r="D74" i="6"/>
  <c r="A75" i="6"/>
  <c r="B75" i="6"/>
  <c r="C75" i="6"/>
  <c r="D75" i="6"/>
  <c r="A76" i="6"/>
  <c r="B76" i="6"/>
  <c r="C76" i="6"/>
  <c r="D76" i="6"/>
  <c r="A77" i="6"/>
  <c r="B77" i="6"/>
  <c r="C77" i="6"/>
  <c r="D77" i="6"/>
  <c r="A78" i="6"/>
  <c r="B78" i="6"/>
  <c r="C78" i="6"/>
  <c r="D78" i="6"/>
  <c r="A79" i="6"/>
  <c r="B79" i="6"/>
  <c r="C79" i="6"/>
  <c r="D79" i="6"/>
  <c r="A80" i="6"/>
  <c r="B80" i="6"/>
  <c r="C80" i="6"/>
  <c r="D80" i="6"/>
  <c r="A81" i="6"/>
  <c r="B81" i="6"/>
  <c r="C81" i="6"/>
  <c r="D81" i="6"/>
  <c r="A82" i="6"/>
  <c r="B82" i="6"/>
  <c r="C82" i="6"/>
  <c r="D82" i="6"/>
  <c r="A83" i="6"/>
  <c r="B83" i="6"/>
  <c r="C83" i="6"/>
  <c r="D83" i="6"/>
  <c r="A84" i="6"/>
  <c r="B84" i="6"/>
  <c r="C84" i="6"/>
  <c r="D84" i="6"/>
  <c r="A85" i="6"/>
  <c r="B85" i="6"/>
  <c r="C85" i="6"/>
  <c r="D85" i="6"/>
  <c r="A86" i="6"/>
  <c r="B86" i="6"/>
  <c r="C86" i="6"/>
  <c r="D86" i="6"/>
  <c r="A87" i="6"/>
  <c r="B87" i="6"/>
  <c r="C87" i="6"/>
  <c r="D87" i="6"/>
  <c r="A88" i="6"/>
  <c r="B88" i="6"/>
  <c r="C88" i="6"/>
  <c r="D88" i="6"/>
  <c r="A89" i="6"/>
  <c r="B89" i="6"/>
  <c r="C89" i="6"/>
  <c r="D89" i="6"/>
  <c r="A90" i="6"/>
  <c r="B90" i="6"/>
  <c r="C90" i="6"/>
  <c r="D90" i="6"/>
  <c r="A91" i="6"/>
  <c r="B91" i="6"/>
  <c r="C91" i="6"/>
  <c r="D91" i="6"/>
  <c r="A92" i="6"/>
  <c r="B92" i="6"/>
  <c r="C92" i="6"/>
  <c r="D92" i="6"/>
  <c r="A93" i="6"/>
  <c r="B93" i="6"/>
  <c r="C93" i="6"/>
  <c r="D93" i="6"/>
  <c r="A94" i="6"/>
  <c r="B94" i="6"/>
  <c r="C94" i="6"/>
  <c r="D94" i="6"/>
  <c r="A95" i="6"/>
  <c r="B95" i="6"/>
  <c r="C95" i="6"/>
  <c r="D95" i="6"/>
  <c r="A96" i="6"/>
  <c r="B96" i="6"/>
  <c r="C96" i="6"/>
  <c r="D96" i="6"/>
  <c r="A97" i="6"/>
  <c r="B97" i="6"/>
  <c r="C97" i="6"/>
  <c r="D97" i="6"/>
  <c r="A98" i="6"/>
  <c r="B98" i="6"/>
  <c r="C98" i="6"/>
  <c r="D98" i="6"/>
  <c r="A99" i="6"/>
  <c r="B99" i="6"/>
  <c r="C99" i="6"/>
  <c r="D99" i="6"/>
  <c r="A100" i="6"/>
  <c r="B100" i="6"/>
  <c r="C100" i="6"/>
  <c r="D100" i="6"/>
  <c r="A101" i="6"/>
  <c r="B101" i="6"/>
  <c r="C101" i="6"/>
  <c r="D101" i="6"/>
  <c r="A102" i="6"/>
  <c r="B102" i="6"/>
  <c r="C102" i="6"/>
  <c r="D102" i="6"/>
  <c r="A103" i="6"/>
  <c r="B103" i="6"/>
  <c r="C103" i="6"/>
  <c r="D103" i="6"/>
  <c r="A104" i="6"/>
  <c r="B104" i="6"/>
  <c r="C104" i="6"/>
  <c r="D104" i="6"/>
  <c r="A105" i="6"/>
  <c r="B105" i="6"/>
  <c r="C105" i="6"/>
  <c r="D105" i="6"/>
  <c r="A106" i="6"/>
  <c r="B106" i="6"/>
  <c r="C106" i="6"/>
  <c r="D106" i="6"/>
  <c r="A107" i="6"/>
  <c r="B107" i="6"/>
  <c r="C107" i="6"/>
  <c r="D107" i="6"/>
  <c r="A108" i="6"/>
  <c r="B108" i="6"/>
  <c r="C108" i="6"/>
  <c r="D108" i="6"/>
  <c r="B1" i="6"/>
  <c r="C1" i="6"/>
  <c r="D1" i="6"/>
  <c r="A1" i="6"/>
  <c r="H1" i="5"/>
  <c r="B76" i="2"/>
  <c r="B76" i="5" s="1"/>
  <c r="C76" i="2"/>
  <c r="C76" i="5" s="1"/>
  <c r="D76" i="2"/>
  <c r="D76" i="5" s="1"/>
  <c r="B77" i="2"/>
  <c r="B77" i="5" s="1"/>
  <c r="C77" i="2"/>
  <c r="C77" i="5" s="1"/>
  <c r="D77" i="2"/>
  <c r="D77" i="5" s="1"/>
  <c r="B78" i="2"/>
  <c r="B78" i="5" s="1"/>
  <c r="C78" i="2"/>
  <c r="C78" i="5" s="1"/>
  <c r="D78" i="2"/>
  <c r="D78" i="5" s="1"/>
  <c r="B79" i="2"/>
  <c r="B79" i="5" s="1"/>
  <c r="C79" i="2"/>
  <c r="C79" i="5" s="1"/>
  <c r="D79" i="2"/>
  <c r="D79" i="5" s="1"/>
  <c r="B80" i="2"/>
  <c r="B80" i="5" s="1"/>
  <c r="C80" i="2"/>
  <c r="C80" i="5" s="1"/>
  <c r="D80" i="2"/>
  <c r="D80" i="5" s="1"/>
  <c r="A77" i="2"/>
  <c r="A78" i="2"/>
  <c r="A79" i="2"/>
  <c r="A79" i="5" s="1"/>
  <c r="A80" i="2"/>
  <c r="A76" i="2"/>
  <c r="B71" i="2"/>
  <c r="B71" i="5" s="1"/>
  <c r="C71" i="2"/>
  <c r="C71" i="5" s="1"/>
  <c r="D71" i="2"/>
  <c r="D71" i="5" s="1"/>
  <c r="B72" i="2"/>
  <c r="B72" i="5" s="1"/>
  <c r="C72" i="2"/>
  <c r="C72" i="5" s="1"/>
  <c r="D72" i="2"/>
  <c r="D72" i="5" s="1"/>
  <c r="B73" i="2"/>
  <c r="B73" i="5" s="1"/>
  <c r="C73" i="2"/>
  <c r="D73" i="2"/>
  <c r="D73" i="5" s="1"/>
  <c r="B74" i="2"/>
  <c r="B74" i="5" s="1"/>
  <c r="C74" i="2"/>
  <c r="C74" i="5" s="1"/>
  <c r="D74" i="2"/>
  <c r="B75" i="2"/>
  <c r="B75" i="5" s="1"/>
  <c r="C75" i="2"/>
  <c r="C75" i="5" s="1"/>
  <c r="D75" i="2"/>
  <c r="D75" i="5" s="1"/>
  <c r="A72" i="2"/>
  <c r="A72" i="5" s="1"/>
  <c r="A73" i="2"/>
  <c r="A74" i="2"/>
  <c r="A74" i="5" s="1"/>
  <c r="A75" i="2"/>
  <c r="A71" i="2"/>
  <c r="B66" i="2"/>
  <c r="B66" i="5" s="1"/>
  <c r="C66" i="2"/>
  <c r="C66" i="5" s="1"/>
  <c r="D66" i="2"/>
  <c r="D66" i="5" s="1"/>
  <c r="B67" i="2"/>
  <c r="B67" i="5" s="1"/>
  <c r="C67" i="2"/>
  <c r="C67" i="5" s="1"/>
  <c r="D67" i="2"/>
  <c r="D67" i="5" s="1"/>
  <c r="B68" i="2"/>
  <c r="B68" i="5" s="1"/>
  <c r="C68" i="2"/>
  <c r="D68" i="2"/>
  <c r="D68" i="5" s="1"/>
  <c r="B69" i="2"/>
  <c r="B69" i="5" s="1"/>
  <c r="C69" i="2"/>
  <c r="C69" i="5" s="1"/>
  <c r="D69" i="2"/>
  <c r="B70" i="2"/>
  <c r="B70" i="5" s="1"/>
  <c r="C70" i="2"/>
  <c r="C70" i="5" s="1"/>
  <c r="D70" i="2"/>
  <c r="D70" i="5" s="1"/>
  <c r="A67" i="2"/>
  <c r="A67" i="5" s="1"/>
  <c r="A68" i="2"/>
  <c r="A68" i="5" s="1"/>
  <c r="A69" i="2"/>
  <c r="A69" i="5" s="1"/>
  <c r="A70" i="2"/>
  <c r="A66" i="2"/>
  <c r="B61" i="2"/>
  <c r="B61" i="5" s="1"/>
  <c r="C61" i="2"/>
  <c r="C61" i="5" s="1"/>
  <c r="D61" i="2"/>
  <c r="D61" i="5" s="1"/>
  <c r="B62" i="2"/>
  <c r="B62" i="5" s="1"/>
  <c r="C62" i="2"/>
  <c r="C62" i="5" s="1"/>
  <c r="D62" i="2"/>
  <c r="D62" i="5" s="1"/>
  <c r="B63" i="2"/>
  <c r="B63" i="5" s="1"/>
  <c r="C63" i="2"/>
  <c r="C63" i="5" s="1"/>
  <c r="D63" i="2"/>
  <c r="D63" i="5" s="1"/>
  <c r="B64" i="2"/>
  <c r="B64" i="5" s="1"/>
  <c r="C64" i="2"/>
  <c r="C64" i="5" s="1"/>
  <c r="D64" i="2"/>
  <c r="B65" i="2"/>
  <c r="B65" i="5" s="1"/>
  <c r="C65" i="2"/>
  <c r="C65" i="5" s="1"/>
  <c r="D65" i="2"/>
  <c r="D65" i="5" s="1"/>
  <c r="A62" i="2"/>
  <c r="A63" i="2"/>
  <c r="A63" i="5" s="1"/>
  <c r="A64" i="2"/>
  <c r="A64" i="5" s="1"/>
  <c r="A65" i="2"/>
  <c r="A65" i="5" s="1"/>
  <c r="B51" i="2"/>
  <c r="B51" i="5" s="1"/>
  <c r="C51" i="2"/>
  <c r="C51" i="5" s="1"/>
  <c r="D51" i="2"/>
  <c r="B52" i="2"/>
  <c r="C52" i="2"/>
  <c r="D52" i="2"/>
  <c r="D52" i="5" s="1"/>
  <c r="B53" i="2"/>
  <c r="B53" i="5" s="1"/>
  <c r="C53" i="2"/>
  <c r="D53" i="2"/>
  <c r="D53" i="5" s="1"/>
  <c r="B54" i="2"/>
  <c r="B54" i="5" s="1"/>
  <c r="C54" i="2"/>
  <c r="D54" i="2"/>
  <c r="B55" i="2"/>
  <c r="B55" i="5" s="1"/>
  <c r="C55" i="2"/>
  <c r="C55" i="5" s="1"/>
  <c r="D55" i="2"/>
  <c r="D55" i="5" s="1"/>
  <c r="A52" i="2"/>
  <c r="A53" i="2"/>
  <c r="A54" i="2"/>
  <c r="A55" i="2"/>
  <c r="F55" i="2" s="1"/>
  <c r="A51" i="2"/>
  <c r="B56" i="2"/>
  <c r="C56" i="2"/>
  <c r="C56" i="5" s="1"/>
  <c r="D56" i="2"/>
  <c r="B57" i="2"/>
  <c r="C57" i="2"/>
  <c r="C57" i="5" s="1"/>
  <c r="D57" i="2"/>
  <c r="D57" i="5" s="1"/>
  <c r="B58" i="2"/>
  <c r="B58" i="5" s="1"/>
  <c r="C58" i="2"/>
  <c r="D58" i="2"/>
  <c r="B59" i="2"/>
  <c r="B59" i="5" s="1"/>
  <c r="C59" i="2"/>
  <c r="C59" i="5" s="1"/>
  <c r="D59" i="2"/>
  <c r="B60" i="2"/>
  <c r="B60" i="5" s="1"/>
  <c r="C60" i="2"/>
  <c r="C60" i="5" s="1"/>
  <c r="D60" i="2"/>
  <c r="A57" i="2"/>
  <c r="A58" i="2"/>
  <c r="A59" i="2"/>
  <c r="A60" i="2"/>
  <c r="F60" i="2" s="1"/>
  <c r="A56" i="2"/>
  <c r="B46" i="2"/>
  <c r="B46" i="5" s="1"/>
  <c r="C46" i="2"/>
  <c r="C46" i="5" s="1"/>
  <c r="D46" i="2"/>
  <c r="D46" i="5" s="1"/>
  <c r="B47" i="2"/>
  <c r="B47" i="5" s="1"/>
  <c r="C47" i="2"/>
  <c r="C47" i="5" s="1"/>
  <c r="D47" i="2"/>
  <c r="D47" i="5" s="1"/>
  <c r="B48" i="2"/>
  <c r="B48" i="5" s="1"/>
  <c r="C48" i="2"/>
  <c r="C48" i="5" s="1"/>
  <c r="D48" i="2"/>
  <c r="B49" i="2"/>
  <c r="B49" i="5" s="1"/>
  <c r="C49" i="2"/>
  <c r="D49" i="2"/>
  <c r="B50" i="2"/>
  <c r="B50" i="5" s="1"/>
  <c r="C50" i="2"/>
  <c r="C50" i="5" s="1"/>
  <c r="D50" i="2"/>
  <c r="A47" i="2"/>
  <c r="A48" i="2"/>
  <c r="A49" i="2"/>
  <c r="A50" i="2"/>
  <c r="F50" i="2" s="1"/>
  <c r="A46" i="2"/>
  <c r="A41" i="2"/>
  <c r="B41" i="2"/>
  <c r="C41" i="2"/>
  <c r="D41" i="2"/>
  <c r="B42" i="2"/>
  <c r="C42" i="2"/>
  <c r="C42" i="5" s="1"/>
  <c r="D42" i="2"/>
  <c r="D42" i="5" s="1"/>
  <c r="B43" i="2"/>
  <c r="C43" i="2"/>
  <c r="D43" i="2"/>
  <c r="D43" i="5" s="1"/>
  <c r="B44" i="2"/>
  <c r="C44" i="2"/>
  <c r="D44" i="2"/>
  <c r="B45" i="2"/>
  <c r="B45" i="5" s="1"/>
  <c r="C45" i="2"/>
  <c r="D45" i="2"/>
  <c r="A42" i="2"/>
  <c r="A43" i="2"/>
  <c r="A44" i="2"/>
  <c r="A45" i="2"/>
  <c r="B31" i="5"/>
  <c r="C31" i="5"/>
  <c r="C32" i="5"/>
  <c r="D32" i="5"/>
  <c r="D33" i="5"/>
  <c r="B34" i="5"/>
  <c r="B35" i="5"/>
  <c r="C35" i="5"/>
  <c r="A33" i="5"/>
  <c r="A34" i="5"/>
  <c r="A31" i="2"/>
  <c r="B36" i="5"/>
  <c r="C37" i="5"/>
  <c r="D38" i="5"/>
  <c r="B40" i="5"/>
  <c r="A38" i="5"/>
  <c r="A36" i="2"/>
  <c r="B26" i="5"/>
  <c r="D26" i="5"/>
  <c r="C27" i="5"/>
  <c r="D28" i="5"/>
  <c r="B30" i="5"/>
  <c r="C30" i="5"/>
  <c r="A27" i="5"/>
  <c r="A28" i="5"/>
  <c r="A26" i="2"/>
  <c r="A21" i="2"/>
  <c r="A21" i="5" s="1"/>
  <c r="A16" i="3"/>
  <c r="A16" i="4" s="1"/>
  <c r="A11" i="3"/>
  <c r="A11" i="4" s="1"/>
  <c r="A6" i="3"/>
  <c r="A6" i="4" s="1"/>
  <c r="A1" i="3"/>
  <c r="A1" i="4" s="1"/>
  <c r="D60" i="3"/>
  <c r="D60" i="4" s="1"/>
  <c r="C60" i="3"/>
  <c r="C60" i="4" s="1"/>
  <c r="B60" i="3"/>
  <c r="B60" i="4" s="1"/>
  <c r="A60" i="3"/>
  <c r="A60" i="4" s="1"/>
  <c r="D59" i="3"/>
  <c r="D59" i="4" s="1"/>
  <c r="C59" i="3"/>
  <c r="C59" i="4" s="1"/>
  <c r="B59" i="3"/>
  <c r="B59" i="4" s="1"/>
  <c r="A59" i="3"/>
  <c r="A59" i="4" s="1"/>
  <c r="D58" i="3"/>
  <c r="D58" i="4" s="1"/>
  <c r="C58" i="3"/>
  <c r="C58" i="4" s="1"/>
  <c r="B58" i="3"/>
  <c r="B58" i="4" s="1"/>
  <c r="A58" i="3"/>
  <c r="A58" i="4" s="1"/>
  <c r="D57" i="3"/>
  <c r="D57" i="4" s="1"/>
  <c r="C57" i="3"/>
  <c r="C57" i="4" s="1"/>
  <c r="B57" i="3"/>
  <c r="B57" i="4" s="1"/>
  <c r="A57" i="3"/>
  <c r="A57" i="4" s="1"/>
  <c r="D56" i="3"/>
  <c r="D56" i="4" s="1"/>
  <c r="C56" i="3"/>
  <c r="C56" i="4" s="1"/>
  <c r="B56" i="3"/>
  <c r="B56" i="4" s="1"/>
  <c r="A56" i="3"/>
  <c r="A56" i="4" s="1"/>
  <c r="D55" i="3"/>
  <c r="D55" i="4" s="1"/>
  <c r="C55" i="3"/>
  <c r="C55" i="4" s="1"/>
  <c r="B55" i="3"/>
  <c r="B55" i="4" s="1"/>
  <c r="A55" i="3"/>
  <c r="A55" i="4" s="1"/>
  <c r="D54" i="3"/>
  <c r="D54" i="4" s="1"/>
  <c r="C54" i="3"/>
  <c r="C54" i="4" s="1"/>
  <c r="B54" i="3"/>
  <c r="B54" i="4" s="1"/>
  <c r="A54" i="3"/>
  <c r="A54" i="4" s="1"/>
  <c r="D53" i="3"/>
  <c r="D53" i="4" s="1"/>
  <c r="C53" i="3"/>
  <c r="C53" i="4" s="1"/>
  <c r="B53" i="3"/>
  <c r="B53" i="4" s="1"/>
  <c r="A53" i="3"/>
  <c r="A53" i="4" s="1"/>
  <c r="D52" i="3"/>
  <c r="D52" i="4" s="1"/>
  <c r="C52" i="3"/>
  <c r="C52" i="4" s="1"/>
  <c r="B52" i="3"/>
  <c r="B52" i="4" s="1"/>
  <c r="A52" i="3"/>
  <c r="A52" i="4" s="1"/>
  <c r="D51" i="3"/>
  <c r="D51" i="4" s="1"/>
  <c r="C51" i="3"/>
  <c r="C51" i="4" s="1"/>
  <c r="B51" i="3"/>
  <c r="B51" i="4" s="1"/>
  <c r="A51" i="3"/>
  <c r="A51" i="4" s="1"/>
  <c r="D50" i="3"/>
  <c r="D50" i="4" s="1"/>
  <c r="C50" i="3"/>
  <c r="C50" i="4" s="1"/>
  <c r="B50" i="3"/>
  <c r="B50" i="4" s="1"/>
  <c r="A50" i="3"/>
  <c r="A50" i="4" s="1"/>
  <c r="D49" i="3"/>
  <c r="D49" i="4" s="1"/>
  <c r="C49" i="3"/>
  <c r="C49" i="4" s="1"/>
  <c r="B49" i="3"/>
  <c r="B49" i="4" s="1"/>
  <c r="A49" i="3"/>
  <c r="A49" i="4" s="1"/>
  <c r="D48" i="3"/>
  <c r="D48" i="4" s="1"/>
  <c r="C48" i="3"/>
  <c r="C48" i="4" s="1"/>
  <c r="B48" i="3"/>
  <c r="B48" i="4" s="1"/>
  <c r="A48" i="3"/>
  <c r="A48" i="4" s="1"/>
  <c r="D47" i="3"/>
  <c r="D47" i="4" s="1"/>
  <c r="C47" i="3"/>
  <c r="C47" i="4" s="1"/>
  <c r="B47" i="3"/>
  <c r="B47" i="4" s="1"/>
  <c r="A47" i="3"/>
  <c r="A47" i="4" s="1"/>
  <c r="D46" i="3"/>
  <c r="D46" i="4" s="1"/>
  <c r="C46" i="3"/>
  <c r="C46" i="4" s="1"/>
  <c r="B46" i="3"/>
  <c r="B46" i="4" s="1"/>
  <c r="A46" i="3"/>
  <c r="A46" i="4" s="1"/>
  <c r="D45" i="3"/>
  <c r="D45" i="4" s="1"/>
  <c r="C45" i="3"/>
  <c r="C45" i="4" s="1"/>
  <c r="B45" i="3"/>
  <c r="B45" i="4" s="1"/>
  <c r="A45" i="3"/>
  <c r="A45" i="4" s="1"/>
  <c r="D44" i="3"/>
  <c r="D44" i="4" s="1"/>
  <c r="C44" i="3"/>
  <c r="C44" i="4" s="1"/>
  <c r="B44" i="3"/>
  <c r="B44" i="4" s="1"/>
  <c r="A44" i="3"/>
  <c r="A44" i="4" s="1"/>
  <c r="D43" i="3"/>
  <c r="D43" i="4" s="1"/>
  <c r="C43" i="3"/>
  <c r="C43" i="4" s="1"/>
  <c r="B43" i="3"/>
  <c r="B43" i="4" s="1"/>
  <c r="A43" i="3"/>
  <c r="A43" i="4" s="1"/>
  <c r="D42" i="3"/>
  <c r="D42" i="4" s="1"/>
  <c r="C42" i="3"/>
  <c r="C42" i="4" s="1"/>
  <c r="B42" i="3"/>
  <c r="B42" i="4" s="1"/>
  <c r="A42" i="3"/>
  <c r="A42" i="4" s="1"/>
  <c r="D41" i="3"/>
  <c r="D41" i="4" s="1"/>
  <c r="C41" i="3"/>
  <c r="C41" i="4" s="1"/>
  <c r="B41" i="3"/>
  <c r="B41" i="4" s="1"/>
  <c r="A41" i="3"/>
  <c r="A41" i="4" s="1"/>
  <c r="D40" i="3"/>
  <c r="D40" i="4" s="1"/>
  <c r="C40" i="3"/>
  <c r="C40" i="4" s="1"/>
  <c r="B40" i="3"/>
  <c r="B40" i="4" s="1"/>
  <c r="A40" i="3"/>
  <c r="A40" i="4" s="1"/>
  <c r="D39" i="3"/>
  <c r="D39" i="4" s="1"/>
  <c r="C39" i="3"/>
  <c r="C39" i="4" s="1"/>
  <c r="B39" i="3"/>
  <c r="B39" i="4" s="1"/>
  <c r="A39" i="3"/>
  <c r="A39" i="4" s="1"/>
  <c r="D38" i="3"/>
  <c r="D38" i="4" s="1"/>
  <c r="C38" i="3"/>
  <c r="C38" i="4" s="1"/>
  <c r="B38" i="3"/>
  <c r="B38" i="4" s="1"/>
  <c r="A38" i="3"/>
  <c r="A38" i="4" s="1"/>
  <c r="D37" i="3"/>
  <c r="D37" i="4" s="1"/>
  <c r="C37" i="3"/>
  <c r="C37" i="4" s="1"/>
  <c r="B37" i="3"/>
  <c r="B37" i="4" s="1"/>
  <c r="A37" i="3"/>
  <c r="A37" i="4" s="1"/>
  <c r="D36" i="3"/>
  <c r="D36" i="4" s="1"/>
  <c r="C36" i="3"/>
  <c r="C36" i="4" s="1"/>
  <c r="B36" i="3"/>
  <c r="B36" i="4" s="1"/>
  <c r="A36" i="3"/>
  <c r="A36" i="4" s="1"/>
  <c r="D35" i="3"/>
  <c r="D35" i="4" s="1"/>
  <c r="C35" i="3"/>
  <c r="C35" i="4" s="1"/>
  <c r="B35" i="3"/>
  <c r="B35" i="4" s="1"/>
  <c r="A35" i="3"/>
  <c r="A35" i="4" s="1"/>
  <c r="D34" i="3"/>
  <c r="D34" i="4" s="1"/>
  <c r="C34" i="3"/>
  <c r="C34" i="4" s="1"/>
  <c r="B34" i="3"/>
  <c r="B34" i="4" s="1"/>
  <c r="A34" i="3"/>
  <c r="A34" i="4" s="1"/>
  <c r="D33" i="3"/>
  <c r="D33" i="4" s="1"/>
  <c r="C33" i="3"/>
  <c r="C33" i="4" s="1"/>
  <c r="B33" i="3"/>
  <c r="B33" i="4" s="1"/>
  <c r="A33" i="3"/>
  <c r="A33" i="4" s="1"/>
  <c r="D32" i="3"/>
  <c r="D32" i="4" s="1"/>
  <c r="C32" i="3"/>
  <c r="C32" i="4" s="1"/>
  <c r="B32" i="3"/>
  <c r="B32" i="4" s="1"/>
  <c r="A32" i="3"/>
  <c r="A32" i="4" s="1"/>
  <c r="D31" i="3"/>
  <c r="D31" i="4" s="1"/>
  <c r="C31" i="3"/>
  <c r="C31" i="4" s="1"/>
  <c r="B31" i="3"/>
  <c r="B31" i="4" s="1"/>
  <c r="A31" i="3"/>
  <c r="A31" i="4" s="1"/>
  <c r="D30" i="3"/>
  <c r="D30" i="4" s="1"/>
  <c r="C30" i="3"/>
  <c r="C30" i="4" s="1"/>
  <c r="B30" i="3"/>
  <c r="B30" i="4" s="1"/>
  <c r="A30" i="3"/>
  <c r="A30" i="4" s="1"/>
  <c r="D29" i="3"/>
  <c r="D29" i="4" s="1"/>
  <c r="C29" i="3"/>
  <c r="C29" i="4" s="1"/>
  <c r="B29" i="3"/>
  <c r="B29" i="4" s="1"/>
  <c r="A29" i="3"/>
  <c r="A29" i="4" s="1"/>
  <c r="D28" i="3"/>
  <c r="D28" i="4" s="1"/>
  <c r="C28" i="3"/>
  <c r="C28" i="4" s="1"/>
  <c r="B28" i="3"/>
  <c r="B28" i="4" s="1"/>
  <c r="A28" i="3"/>
  <c r="A28" i="4" s="1"/>
  <c r="D27" i="3"/>
  <c r="D27" i="4" s="1"/>
  <c r="C27" i="3"/>
  <c r="C27" i="4" s="1"/>
  <c r="B27" i="3"/>
  <c r="B27" i="4" s="1"/>
  <c r="A27" i="3"/>
  <c r="A27" i="4" s="1"/>
  <c r="D26" i="3"/>
  <c r="D26" i="4" s="1"/>
  <c r="C26" i="3"/>
  <c r="C26" i="4" s="1"/>
  <c r="B26" i="3"/>
  <c r="B26" i="4" s="1"/>
  <c r="A26" i="3"/>
  <c r="A26" i="4" s="1"/>
  <c r="D25" i="3"/>
  <c r="D25" i="4" s="1"/>
  <c r="C25" i="3"/>
  <c r="C25" i="4" s="1"/>
  <c r="B25" i="3"/>
  <c r="B25" i="4" s="1"/>
  <c r="A25" i="3"/>
  <c r="A25" i="4" s="1"/>
  <c r="D24" i="3"/>
  <c r="D24" i="4" s="1"/>
  <c r="C24" i="3"/>
  <c r="C24" i="4" s="1"/>
  <c r="B24" i="3"/>
  <c r="B24" i="4" s="1"/>
  <c r="A24" i="3"/>
  <c r="A24" i="4" s="1"/>
  <c r="D23" i="3"/>
  <c r="D23" i="4" s="1"/>
  <c r="C23" i="3"/>
  <c r="C23" i="4" s="1"/>
  <c r="B23" i="3"/>
  <c r="B23" i="4" s="1"/>
  <c r="A23" i="3"/>
  <c r="A23" i="4" s="1"/>
  <c r="D22" i="3"/>
  <c r="D22" i="4" s="1"/>
  <c r="C22" i="3"/>
  <c r="C22" i="4" s="1"/>
  <c r="B22" i="3"/>
  <c r="B22" i="4" s="1"/>
  <c r="A22" i="3"/>
  <c r="A22" i="4" s="1"/>
  <c r="D21" i="3"/>
  <c r="D21" i="4" s="1"/>
  <c r="C21" i="3"/>
  <c r="C21" i="4" s="1"/>
  <c r="B21" i="3"/>
  <c r="B21" i="4" s="1"/>
  <c r="A21" i="3"/>
  <c r="A21" i="4" s="1"/>
  <c r="A6" i="2"/>
  <c r="A6" i="5" s="1"/>
  <c r="B16" i="2"/>
  <c r="C16" i="2"/>
  <c r="D16" i="2"/>
  <c r="B17" i="2"/>
  <c r="C17" i="2"/>
  <c r="D17" i="2"/>
  <c r="D17" i="5" s="1"/>
  <c r="B18" i="2"/>
  <c r="C18" i="2"/>
  <c r="D18" i="2"/>
  <c r="B19" i="2"/>
  <c r="C19" i="2"/>
  <c r="D19" i="2"/>
  <c r="B20" i="2"/>
  <c r="B20" i="5" s="1"/>
  <c r="C20" i="2"/>
  <c r="C20" i="5" s="1"/>
  <c r="D20" i="2"/>
  <c r="A17" i="2"/>
  <c r="A18" i="2"/>
  <c r="A19" i="2"/>
  <c r="A20" i="2"/>
  <c r="A16" i="2"/>
  <c r="A16" i="5" s="1"/>
  <c r="B11" i="2"/>
  <c r="B11" i="5" s="1"/>
  <c r="C11" i="2"/>
  <c r="C11" i="5" s="1"/>
  <c r="D11" i="2"/>
  <c r="D11" i="5" s="1"/>
  <c r="B12" i="2"/>
  <c r="B12" i="5" s="1"/>
  <c r="C12" i="2"/>
  <c r="D12" i="2"/>
  <c r="D12" i="5" s="1"/>
  <c r="B13" i="2"/>
  <c r="B13" i="5" s="1"/>
  <c r="C13" i="2"/>
  <c r="C13" i="5" s="1"/>
  <c r="D13" i="2"/>
  <c r="B14" i="2"/>
  <c r="B14" i="5" s="1"/>
  <c r="C14" i="2"/>
  <c r="C14" i="5" s="1"/>
  <c r="D14" i="2"/>
  <c r="D14" i="5" s="1"/>
  <c r="B15" i="2"/>
  <c r="C15" i="2"/>
  <c r="C15" i="5" s="1"/>
  <c r="D15" i="2"/>
  <c r="D15" i="5" s="1"/>
  <c r="A12" i="2"/>
  <c r="A13" i="2"/>
  <c r="A14" i="2"/>
  <c r="A14" i="5" s="1"/>
  <c r="A15" i="2"/>
  <c r="A15" i="5" s="1"/>
  <c r="A11" i="2"/>
  <c r="A11" i="5" s="1"/>
  <c r="B6" i="2"/>
  <c r="C6" i="2"/>
  <c r="C6" i="5" s="1"/>
  <c r="D6" i="2"/>
  <c r="D6" i="5" s="1"/>
  <c r="B7" i="2"/>
  <c r="B7" i="5" s="1"/>
  <c r="C7" i="2"/>
  <c r="C7" i="5" s="1"/>
  <c r="D7" i="2"/>
  <c r="B8" i="2"/>
  <c r="B8" i="5" s="1"/>
  <c r="C8" i="2"/>
  <c r="C8" i="5" s="1"/>
  <c r="D8" i="2"/>
  <c r="B9" i="2"/>
  <c r="B9" i="5" s="1"/>
  <c r="C9" i="2"/>
  <c r="C9" i="5" s="1"/>
  <c r="D9" i="2"/>
  <c r="D9" i="5" s="1"/>
  <c r="B10" i="2"/>
  <c r="B10" i="5" s="1"/>
  <c r="C10" i="2"/>
  <c r="C10" i="5" s="1"/>
  <c r="D10" i="2"/>
  <c r="D10" i="5" s="1"/>
  <c r="A7" i="2"/>
  <c r="A7" i="5" s="1"/>
  <c r="A8" i="2"/>
  <c r="A9" i="2"/>
  <c r="A10" i="2"/>
  <c r="A10" i="5" s="1"/>
  <c r="D5" i="2"/>
  <c r="D5" i="5" s="1"/>
  <c r="C5" i="2"/>
  <c r="C5" i="5" s="1"/>
  <c r="B5" i="2"/>
  <c r="B5" i="5" s="1"/>
  <c r="A5" i="2"/>
  <c r="D4" i="2"/>
  <c r="D4" i="5" s="1"/>
  <c r="C4" i="2"/>
  <c r="C4" i="5" s="1"/>
  <c r="B4" i="2"/>
  <c r="B4" i="5" s="1"/>
  <c r="A4" i="2"/>
  <c r="D3" i="2"/>
  <c r="D3" i="5" s="1"/>
  <c r="C3" i="2"/>
  <c r="C3" i="5" s="1"/>
  <c r="B3" i="2"/>
  <c r="B3" i="5" s="1"/>
  <c r="A3" i="2"/>
  <c r="A3" i="5" s="1"/>
  <c r="D2" i="2"/>
  <c r="D2" i="5" s="1"/>
  <c r="C2" i="2"/>
  <c r="C2" i="5" s="1"/>
  <c r="B2" i="2"/>
  <c r="B2" i="5" s="1"/>
  <c r="A2" i="2"/>
  <c r="A2" i="5" s="1"/>
  <c r="D1" i="2"/>
  <c r="D1" i="5" s="1"/>
  <c r="C1" i="2"/>
  <c r="C1" i="5" s="1"/>
  <c r="B1" i="2"/>
  <c r="B1" i="5" s="1"/>
  <c r="A1" i="2"/>
  <c r="F45" i="2" l="1"/>
  <c r="F46" i="2"/>
  <c r="F47" i="2"/>
  <c r="F47" i="5" s="1"/>
  <c r="F56" i="2"/>
  <c r="F57" i="2"/>
  <c r="F51" i="2"/>
  <c r="F52" i="2"/>
  <c r="A44" i="5"/>
  <c r="F44" i="2"/>
  <c r="A43" i="5"/>
  <c r="F43" i="2"/>
  <c r="A49" i="5"/>
  <c r="F49" i="2"/>
  <c r="A59" i="5"/>
  <c r="F59" i="2"/>
  <c r="A54" i="5"/>
  <c r="F54" i="2"/>
  <c r="F42" i="2"/>
  <c r="F41" i="2"/>
  <c r="A48" i="5"/>
  <c r="F48" i="2"/>
  <c r="F58" i="2"/>
  <c r="F53" i="2"/>
  <c r="F65" i="3"/>
  <c r="F65" i="4" s="1"/>
  <c r="F63" i="3"/>
  <c r="F63" i="4" s="1"/>
  <c r="F79" i="3"/>
  <c r="F79" i="4" s="1"/>
  <c r="F77" i="3"/>
  <c r="F77" i="4" s="1"/>
  <c r="F73" i="3"/>
  <c r="F73" i="4" s="1"/>
  <c r="F71" i="3"/>
  <c r="F71" i="4" s="1"/>
  <c r="F69" i="3"/>
  <c r="F69" i="4" s="1"/>
  <c r="F67" i="3"/>
  <c r="F67" i="4" s="1"/>
  <c r="F75" i="3"/>
  <c r="F75" i="4" s="1"/>
  <c r="F40" i="2"/>
  <c r="F64" i="3"/>
  <c r="F64" i="4" s="1"/>
  <c r="F62" i="3"/>
  <c r="F62" i="4" s="1"/>
  <c r="F80" i="3"/>
  <c r="F80" i="4" s="1"/>
  <c r="F78" i="3"/>
  <c r="F78" i="4" s="1"/>
  <c r="F76" i="3"/>
  <c r="F76" i="4" s="1"/>
  <c r="F74" i="3"/>
  <c r="F74" i="4" s="1"/>
  <c r="F72" i="3"/>
  <c r="F72" i="4" s="1"/>
  <c r="F70" i="3"/>
  <c r="F70" i="4" s="1"/>
  <c r="F68" i="3"/>
  <c r="F68" i="4" s="1"/>
  <c r="F66" i="3"/>
  <c r="F66" i="4" s="1"/>
  <c r="F61" i="3"/>
  <c r="F61" i="4" s="1"/>
  <c r="F23" i="2"/>
  <c r="I64" i="3"/>
  <c r="I64" i="4" s="1"/>
  <c r="F24" i="2"/>
  <c r="F32" i="2"/>
  <c r="F30" i="2"/>
  <c r="F28" i="2"/>
  <c r="F35" i="2"/>
  <c r="F71" i="2"/>
  <c r="F71" i="5" s="1"/>
  <c r="D7" i="5"/>
  <c r="F64" i="2"/>
  <c r="F15" i="2"/>
  <c r="D8" i="5"/>
  <c r="F7" i="2"/>
  <c r="A41" i="5"/>
  <c r="D48" i="5"/>
  <c r="A58" i="5"/>
  <c r="D58" i="5"/>
  <c r="A9" i="5"/>
  <c r="F9" i="2"/>
  <c r="F4" i="2"/>
  <c r="A4" i="5"/>
  <c r="A5" i="5"/>
  <c r="F5" i="2"/>
  <c r="B56" i="5"/>
  <c r="A53" i="5"/>
  <c r="C52" i="5"/>
  <c r="A73" i="5"/>
  <c r="F73" i="2"/>
  <c r="A78" i="5"/>
  <c r="F78" i="2"/>
  <c r="F78" i="5" s="1"/>
  <c r="F80" i="2"/>
  <c r="F72" i="2"/>
  <c r="A19" i="5"/>
  <c r="A26" i="5"/>
  <c r="F26" i="2"/>
  <c r="A36" i="5"/>
  <c r="A37" i="5"/>
  <c r="F37" i="2"/>
  <c r="A31" i="5"/>
  <c r="A32" i="5"/>
  <c r="D45" i="5"/>
  <c r="A51" i="5"/>
  <c r="F61" i="2"/>
  <c r="A62" i="5"/>
  <c r="F62" i="2"/>
  <c r="F62" i="5" s="1"/>
  <c r="F66" i="2"/>
  <c r="A77" i="5"/>
  <c r="F77" i="2"/>
  <c r="F79" i="2"/>
  <c r="F63" i="2"/>
  <c r="F39" i="2"/>
  <c r="F31" i="2"/>
  <c r="F14" i="2"/>
  <c r="F6" i="2"/>
  <c r="F8" i="2"/>
  <c r="A8" i="5"/>
  <c r="B6" i="5"/>
  <c r="A13" i="5"/>
  <c r="F13" i="2"/>
  <c r="B15" i="5"/>
  <c r="A18" i="5"/>
  <c r="F18" i="2"/>
  <c r="D18" i="5"/>
  <c r="C17" i="5"/>
  <c r="B16" i="5"/>
  <c r="C39" i="5"/>
  <c r="B38" i="5"/>
  <c r="F38" i="2"/>
  <c r="F70" i="2"/>
  <c r="D13" i="5"/>
  <c r="C12" i="5"/>
  <c r="F76" i="2"/>
  <c r="F68" i="2"/>
  <c r="F36" i="2"/>
  <c r="F20" i="2"/>
  <c r="F11" i="2"/>
  <c r="F3" i="2"/>
  <c r="F22" i="2"/>
  <c r="F25" i="2"/>
  <c r="F12" i="2"/>
  <c r="F17" i="2"/>
  <c r="F29" i="2"/>
  <c r="F75" i="2"/>
  <c r="F67" i="2"/>
  <c r="F67" i="5" s="1"/>
  <c r="F27" i="2"/>
  <c r="F19" i="2"/>
  <c r="F10" i="2"/>
  <c r="F2" i="2"/>
  <c r="F74" i="2"/>
  <c r="F34" i="2"/>
  <c r="F16" i="2"/>
  <c r="F16" i="5" s="1"/>
  <c r="A12" i="5"/>
  <c r="F69" i="2"/>
  <c r="F65" i="2"/>
  <c r="F33" i="2"/>
  <c r="F21" i="2"/>
  <c r="C21" i="5"/>
  <c r="C22" i="5"/>
  <c r="C23" i="5"/>
  <c r="C24" i="5"/>
  <c r="C25" i="5"/>
  <c r="B19" i="5"/>
  <c r="C16" i="5"/>
  <c r="F5" i="3"/>
  <c r="F5" i="4" s="1"/>
  <c r="F15" i="3"/>
  <c r="F15" i="4" s="1"/>
  <c r="F20" i="3"/>
  <c r="F20" i="4" s="1"/>
  <c r="D29" i="5"/>
  <c r="C28" i="5"/>
  <c r="B27" i="5"/>
  <c r="D21" i="5"/>
  <c r="D22" i="5"/>
  <c r="D23" i="5"/>
  <c r="D24" i="5"/>
  <c r="D25" i="5"/>
  <c r="A30" i="5"/>
  <c r="D30" i="5"/>
  <c r="C29" i="5"/>
  <c r="B28" i="5"/>
  <c r="A40" i="5"/>
  <c r="D40" i="5"/>
  <c r="A1" i="5"/>
  <c r="A22" i="5"/>
  <c r="A23" i="5"/>
  <c r="A24" i="5"/>
  <c r="A25" i="5"/>
  <c r="A17" i="5"/>
  <c r="D19" i="5"/>
  <c r="C18" i="5"/>
  <c r="B17" i="5"/>
  <c r="B21" i="5"/>
  <c r="B22" i="5"/>
  <c r="B23" i="5"/>
  <c r="B24" i="5"/>
  <c r="B25" i="5"/>
  <c r="C33" i="5"/>
  <c r="B32" i="5"/>
  <c r="A42" i="5"/>
  <c r="C43" i="5"/>
  <c r="B42" i="5"/>
  <c r="D59" i="5"/>
  <c r="D51" i="5"/>
  <c r="D39" i="5"/>
  <c r="D35" i="5"/>
  <c r="D31" i="5"/>
  <c r="D27" i="5"/>
  <c r="A76" i="5"/>
  <c r="A60" i="5"/>
  <c r="B57" i="5"/>
  <c r="C54" i="5"/>
  <c r="A52" i="5"/>
  <c r="B41" i="5"/>
  <c r="A35" i="5"/>
  <c r="A45" i="5"/>
  <c r="C44" i="5"/>
  <c r="B43" i="5"/>
  <c r="A46" i="5"/>
  <c r="A47" i="5"/>
  <c r="C53" i="5"/>
  <c r="B52" i="5"/>
  <c r="A66" i="5"/>
  <c r="F68" i="5"/>
  <c r="C68" i="5"/>
  <c r="A71" i="5"/>
  <c r="F74" i="5"/>
  <c r="F73" i="5"/>
  <c r="C73" i="5"/>
  <c r="D74" i="5"/>
  <c r="D54" i="5"/>
  <c r="D50" i="5"/>
  <c r="D34" i="5"/>
  <c r="A57" i="5"/>
  <c r="C34" i="5"/>
  <c r="B29" i="5"/>
  <c r="A20" i="5"/>
  <c r="D20" i="5"/>
  <c r="C19" i="5"/>
  <c r="B18" i="5"/>
  <c r="D16" i="5"/>
  <c r="F21" i="3"/>
  <c r="F21" i="4" s="1"/>
  <c r="F22" i="3"/>
  <c r="F22" i="4" s="1"/>
  <c r="F24" i="3"/>
  <c r="F24" i="4" s="1"/>
  <c r="F25" i="3"/>
  <c r="F25" i="4" s="1"/>
  <c r="F26" i="3"/>
  <c r="F26" i="4" s="1"/>
  <c r="F28" i="3"/>
  <c r="F28" i="4" s="1"/>
  <c r="F29" i="3"/>
  <c r="F29" i="4" s="1"/>
  <c r="F30" i="3"/>
  <c r="F30" i="4" s="1"/>
  <c r="F32" i="3"/>
  <c r="F32" i="4" s="1"/>
  <c r="F33" i="3"/>
  <c r="F33" i="4" s="1"/>
  <c r="F34" i="3"/>
  <c r="F34" i="4" s="1"/>
  <c r="F36" i="3"/>
  <c r="F36" i="4" s="1"/>
  <c r="F37" i="3"/>
  <c r="F37" i="4" s="1"/>
  <c r="F38" i="3"/>
  <c r="F38" i="4" s="1"/>
  <c r="F40" i="3"/>
  <c r="F40" i="4" s="1"/>
  <c r="F41" i="3"/>
  <c r="F41" i="4" s="1"/>
  <c r="F42" i="3"/>
  <c r="F42" i="4" s="1"/>
  <c r="F44" i="3"/>
  <c r="F44" i="4" s="1"/>
  <c r="F45" i="3"/>
  <c r="F45" i="4" s="1"/>
  <c r="F46" i="3"/>
  <c r="F46" i="4" s="1"/>
  <c r="F48" i="3"/>
  <c r="F48" i="4" s="1"/>
  <c r="F49" i="3"/>
  <c r="F49" i="4" s="1"/>
  <c r="F50" i="3"/>
  <c r="F50" i="4" s="1"/>
  <c r="F52" i="3"/>
  <c r="F52" i="4" s="1"/>
  <c r="F53" i="3"/>
  <c r="F53" i="4" s="1"/>
  <c r="F54" i="3"/>
  <c r="F54" i="4" s="1"/>
  <c r="F56" i="3"/>
  <c r="F56" i="4" s="1"/>
  <c r="F57" i="3"/>
  <c r="F57" i="4" s="1"/>
  <c r="F58" i="3"/>
  <c r="F58" i="4" s="1"/>
  <c r="F60" i="3"/>
  <c r="F60" i="4" s="1"/>
  <c r="F2" i="3"/>
  <c r="F2" i="4" s="1"/>
  <c r="F6" i="3"/>
  <c r="F6" i="4" s="1"/>
  <c r="F7" i="3"/>
  <c r="F7" i="4" s="1"/>
  <c r="F12" i="3"/>
  <c r="F12" i="4" s="1"/>
  <c r="F16" i="3"/>
  <c r="F16" i="4" s="1"/>
  <c r="F17" i="3"/>
  <c r="F17" i="4" s="1"/>
  <c r="A29" i="5"/>
  <c r="A39" i="5"/>
  <c r="C40" i="5"/>
  <c r="B39" i="5"/>
  <c r="C36" i="5"/>
  <c r="C45" i="5"/>
  <c r="B44" i="5"/>
  <c r="C41" i="5"/>
  <c r="A50" i="5"/>
  <c r="C49" i="5"/>
  <c r="A55" i="5"/>
  <c r="A70" i="5"/>
  <c r="A75" i="5"/>
  <c r="D69" i="5"/>
  <c r="D49" i="5"/>
  <c r="D41" i="5"/>
  <c r="D37" i="5"/>
  <c r="A80" i="5"/>
  <c r="C58" i="5"/>
  <c r="A56" i="5"/>
  <c r="C38" i="5"/>
  <c r="B33" i="5"/>
  <c r="D64" i="5"/>
  <c r="D60" i="5"/>
  <c r="D56" i="5"/>
  <c r="D44" i="5"/>
  <c r="D36" i="5"/>
  <c r="A61" i="5"/>
  <c r="B37" i="5"/>
  <c r="C26" i="5"/>
  <c r="F31" i="3"/>
  <c r="F31" i="4" s="1"/>
  <c r="F39" i="3"/>
  <c r="F39" i="4" s="1"/>
  <c r="F51" i="3"/>
  <c r="F51" i="4" s="1"/>
  <c r="F59" i="3"/>
  <c r="F59" i="4" s="1"/>
  <c r="F3" i="3"/>
  <c r="F3" i="4" s="1"/>
  <c r="F19" i="3"/>
  <c r="F19" i="4" s="1"/>
  <c r="F18" i="3"/>
  <c r="F18" i="4" s="1"/>
  <c r="F9" i="3"/>
  <c r="F9" i="4" s="1"/>
  <c r="F14" i="3"/>
  <c r="F14" i="4" s="1"/>
  <c r="F23" i="3"/>
  <c r="F27" i="3"/>
  <c r="F27" i="4" s="1"/>
  <c r="F35" i="3"/>
  <c r="F35" i="4" s="1"/>
  <c r="F43" i="3"/>
  <c r="F43" i="4" s="1"/>
  <c r="F47" i="3"/>
  <c r="F47" i="4" s="1"/>
  <c r="F55" i="3"/>
  <c r="F55" i="4" s="1"/>
  <c r="F4" i="3"/>
  <c r="F4" i="4" s="1"/>
  <c r="F8" i="3"/>
  <c r="F8" i="4" s="1"/>
  <c r="F11" i="3"/>
  <c r="F11" i="4" s="1"/>
  <c r="F13" i="3"/>
  <c r="F13" i="4" s="1"/>
  <c r="F10" i="3"/>
  <c r="F10" i="4" s="1"/>
  <c r="F72" i="5"/>
  <c r="F77" i="5"/>
  <c r="Q5" i="1"/>
  <c r="F1" i="3"/>
  <c r="F1" i="4" s="1"/>
  <c r="P7" i="1"/>
  <c r="P6" i="1"/>
  <c r="F1" i="2"/>
  <c r="F1" i="5" s="1"/>
  <c r="P5" i="1"/>
  <c r="I63" i="3" l="1"/>
  <c r="I63" i="4" s="1"/>
  <c r="I23" i="3"/>
  <c r="I23" i="4" s="1"/>
  <c r="F23" i="4"/>
  <c r="I61" i="3"/>
  <c r="I61" i="4" s="1"/>
  <c r="I21" i="2"/>
  <c r="I65" i="3"/>
  <c r="I65" i="4" s="1"/>
  <c r="I62" i="3"/>
  <c r="I62" i="4" s="1"/>
  <c r="I4" i="3"/>
  <c r="I4" i="4" s="1"/>
  <c r="F80" i="5"/>
  <c r="F79" i="5"/>
  <c r="F69" i="5"/>
  <c r="I25" i="2"/>
  <c r="I25" i="5" s="1"/>
  <c r="I43" i="3"/>
  <c r="I43" i="4" s="1"/>
  <c r="I1" i="3"/>
  <c r="I1" i="4" s="1"/>
  <c r="I41" i="3"/>
  <c r="I41" i="4" s="1"/>
  <c r="I25" i="3"/>
  <c r="I25" i="4" s="1"/>
  <c r="I43" i="2"/>
  <c r="I2" i="3"/>
  <c r="I2" i="4" s="1"/>
  <c r="I45" i="3"/>
  <c r="I45" i="4" s="1"/>
  <c r="I24" i="3"/>
  <c r="I24" i="4" s="1"/>
  <c r="I22" i="2"/>
  <c r="J22" i="2" s="1"/>
  <c r="I61" i="2"/>
  <c r="I44" i="2"/>
  <c r="I24" i="2"/>
  <c r="I23" i="2"/>
  <c r="I3" i="3"/>
  <c r="I3" i="4" s="1"/>
  <c r="I44" i="3"/>
  <c r="I44" i="4" s="1"/>
  <c r="I22" i="3"/>
  <c r="I22" i="4" s="1"/>
  <c r="I65" i="2"/>
  <c r="F75" i="5"/>
  <c r="F70" i="5"/>
  <c r="I63" i="2"/>
  <c r="F66" i="5"/>
  <c r="I41" i="2"/>
  <c r="I45" i="2"/>
  <c r="I42" i="3"/>
  <c r="I42" i="4" s="1"/>
  <c r="I21" i="3"/>
  <c r="I21" i="4" s="1"/>
  <c r="I5" i="3"/>
  <c r="I5" i="4" s="1"/>
  <c r="I21" i="5"/>
  <c r="F76" i="5"/>
  <c r="I62" i="2"/>
  <c r="I64" i="2"/>
  <c r="I42" i="2"/>
  <c r="F31" i="5"/>
  <c r="F23" i="5"/>
  <c r="F38" i="5"/>
  <c r="F26" i="5"/>
  <c r="F14" i="5"/>
  <c r="F6" i="5"/>
  <c r="F57" i="5"/>
  <c r="F17" i="5"/>
  <c r="F13" i="5"/>
  <c r="F9" i="5"/>
  <c r="F50" i="5"/>
  <c r="F56" i="5"/>
  <c r="F46" i="5"/>
  <c r="F44" i="5"/>
  <c r="F55" i="5"/>
  <c r="F40" i="5"/>
  <c r="F36" i="5"/>
  <c r="F32" i="5"/>
  <c r="F28" i="5"/>
  <c r="F24" i="5"/>
  <c r="F20" i="5"/>
  <c r="F12" i="5"/>
  <c r="F8" i="5"/>
  <c r="F4" i="5"/>
  <c r="F60" i="5"/>
  <c r="F54" i="5"/>
  <c r="F43" i="5"/>
  <c r="F45" i="5"/>
  <c r="F42" i="5"/>
  <c r="F52" i="5"/>
  <c r="F65" i="5"/>
  <c r="F61" i="5"/>
  <c r="F35" i="5"/>
  <c r="F27" i="5"/>
  <c r="F15" i="5"/>
  <c r="F11" i="5"/>
  <c r="F7" i="5"/>
  <c r="F3" i="5"/>
  <c r="F58" i="5"/>
  <c r="F53" i="5"/>
  <c r="F41" i="5"/>
  <c r="F51" i="5"/>
  <c r="F63" i="5"/>
  <c r="F39" i="5"/>
  <c r="F19" i="5"/>
  <c r="F30" i="5"/>
  <c r="F49" i="5"/>
  <c r="F59" i="5"/>
  <c r="F48" i="5"/>
  <c r="F34" i="5"/>
  <c r="F22" i="5"/>
  <c r="F18" i="5"/>
  <c r="F10" i="5"/>
  <c r="F2" i="5"/>
  <c r="F21" i="5"/>
  <c r="F37" i="5"/>
  <c r="F33" i="5"/>
  <c r="F29" i="5"/>
  <c r="F25" i="5"/>
  <c r="F5" i="5"/>
  <c r="F64" i="5"/>
  <c r="I1" i="2"/>
  <c r="I1" i="5" s="1"/>
  <c r="I5" i="2"/>
  <c r="I4" i="2"/>
  <c r="I3" i="2"/>
  <c r="I2" i="2"/>
  <c r="I66" i="3" l="1"/>
  <c r="I66" i="4" s="1"/>
  <c r="J23" i="2"/>
  <c r="J22" i="5"/>
  <c r="I61" i="5"/>
  <c r="I26" i="3"/>
  <c r="I26" i="4" s="1"/>
  <c r="I62" i="5"/>
  <c r="I42" i="5"/>
  <c r="I23" i="5"/>
  <c r="I26" i="2"/>
  <c r="I45" i="5"/>
  <c r="I63" i="5"/>
  <c r="I24" i="5"/>
  <c r="I22" i="5"/>
  <c r="I43" i="5"/>
  <c r="I46" i="3"/>
  <c r="I46" i="4" s="1"/>
  <c r="I65" i="5"/>
  <c r="I66" i="2"/>
  <c r="I64" i="5"/>
  <c r="I46" i="2"/>
  <c r="I41" i="5"/>
  <c r="I44" i="5"/>
  <c r="I6" i="3"/>
  <c r="I6" i="4" s="1"/>
  <c r="I5" i="5"/>
  <c r="I2" i="5"/>
  <c r="I3" i="5"/>
  <c r="I4" i="5"/>
  <c r="I6" i="2"/>
  <c r="I6" i="5" s="1"/>
  <c r="J23" i="5" l="1"/>
  <c r="J24" i="2"/>
  <c r="I26" i="5"/>
  <c r="I66" i="5"/>
  <c r="I46" i="5"/>
  <c r="J25" i="2" l="1"/>
  <c r="J25" i="5" s="1"/>
  <c r="J24" i="5"/>
</calcChain>
</file>

<file path=xl/sharedStrings.xml><?xml version="1.0" encoding="utf-8"?>
<sst xmlns="http://schemas.openxmlformats.org/spreadsheetml/2006/main" count="28" uniqueCount="9">
  <si>
    <t>i=0;  i=4;</t>
  </si>
  <si>
    <t>i=1;  i=5;</t>
  </si>
  <si>
    <t>i=2;  i=6;</t>
  </si>
  <si>
    <t>i=3;  i=7;</t>
  </si>
  <si>
    <t>pos_out</t>
  </si>
  <si>
    <t>ch_out</t>
  </si>
  <si>
    <t>somma</t>
  </si>
  <si>
    <t xml:space="preserve">2D6783F7 </t>
  </si>
  <si>
    <t xml:space="preserve">03DD2FE4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</si>
</sst>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2" borderId="4" xfId="0" applyFill="1" applyBorder="1"/>
    <xf numFmtId="0" fontId="0" fillId="3" borderId="4" xfId="0" applyFill="1" applyBorder="1"/>
    <xf numFmtId="0" fontId="0" fillId="0" borderId="4" xfId="0" applyBorder="1"/>
    <xf numFmtId="0" fontId="0" fillId="0" borderId="5" xfId="0" applyBorder="1"/>
    <xf numFmtId="0" fontId="1" fillId="0" borderId="0" xfId="0" applyFont="1"/>
    <xf numFmtId="0" fontId="0" fillId="6" borderId="4" xfId="0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1" fillId="2" borderId="4" xfId="0" applyFont="1" applyFill="1" applyBorder="1"/>
    <xf numFmtId="0" fontId="1" fillId="3" borderId="4" xfId="0" applyFont="1" applyFill="1" applyBorder="1"/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074E-DEC8-4308-8A72-531CDC045EBC}">
  <sheetPr codeName="Foglio1"/>
  <dimension ref="A1:S128"/>
  <sheetViews>
    <sheetView tabSelected="1" workbookViewId="0">
      <selection sqref="A1:D128"/>
    </sheetView>
  </sheetViews>
  <sheetFormatPr defaultRowHeight="14.25"/>
  <cols>
    <col min="16" max="16" width="10.875" customWidth="1"/>
  </cols>
  <sheetData>
    <row r="1" spans="1:19">
      <c r="A1" s="1">
        <v>11</v>
      </c>
      <c r="B1" s="2">
        <v>170</v>
      </c>
      <c r="C1" s="1">
        <v>25</v>
      </c>
      <c r="D1" s="2">
        <v>16</v>
      </c>
      <c r="E1" s="27" t="s">
        <v>0</v>
      </c>
    </row>
    <row r="2" spans="1:19">
      <c r="A2" s="3">
        <v>69</v>
      </c>
      <c r="B2" s="4">
        <v>171</v>
      </c>
      <c r="C2" s="3">
        <v>188</v>
      </c>
      <c r="D2" s="4">
        <v>201</v>
      </c>
      <c r="E2" s="27"/>
    </row>
    <row r="3" spans="1:19">
      <c r="A3" s="3">
        <v>42</v>
      </c>
      <c r="B3" s="4">
        <v>126</v>
      </c>
      <c r="C3" s="3">
        <v>160</v>
      </c>
      <c r="D3" s="4">
        <v>242</v>
      </c>
      <c r="E3" s="27"/>
      <c r="O3" s="19"/>
      <c r="P3" s="28" t="s">
        <v>4</v>
      </c>
      <c r="Q3" s="28"/>
      <c r="R3" s="28"/>
      <c r="S3" s="28"/>
    </row>
    <row r="4" spans="1:19">
      <c r="A4" s="3">
        <v>12</v>
      </c>
      <c r="B4" s="4">
        <v>223</v>
      </c>
      <c r="C4" s="3">
        <v>161</v>
      </c>
      <c r="D4" s="4">
        <v>147</v>
      </c>
      <c r="E4" s="27"/>
      <c r="O4" s="19" t="s">
        <v>5</v>
      </c>
      <c r="P4" s="19">
        <v>0</v>
      </c>
      <c r="Q4" s="19">
        <v>1</v>
      </c>
      <c r="R4" s="19">
        <v>2</v>
      </c>
      <c r="S4" s="19">
        <v>3</v>
      </c>
    </row>
    <row r="5" spans="1:19">
      <c r="A5" s="5">
        <v>1</v>
      </c>
      <c r="B5" s="6">
        <v>224</v>
      </c>
      <c r="C5" s="5">
        <v>73</v>
      </c>
      <c r="D5" s="6">
        <v>144</v>
      </c>
      <c r="E5" s="27"/>
      <c r="O5" s="19">
        <v>0</v>
      </c>
      <c r="P5" s="19">
        <f>SUM(out_col0!A1:D20)</f>
        <v>1388330</v>
      </c>
      <c r="Q5">
        <f>SUM(out_col1!A1:D20)</f>
        <v>1433731</v>
      </c>
      <c r="R5" s="19"/>
      <c r="S5" s="19"/>
    </row>
    <row r="6" spans="1:19">
      <c r="A6" s="2">
        <v>168</v>
      </c>
      <c r="B6" s="1">
        <v>176</v>
      </c>
      <c r="C6" s="2">
        <v>226</v>
      </c>
      <c r="D6" s="1">
        <v>14</v>
      </c>
      <c r="E6" s="27"/>
      <c r="O6" s="19">
        <v>1</v>
      </c>
      <c r="P6" s="19">
        <f>SUM(out_col0!A21:D40)</f>
        <v>1530129</v>
      </c>
      <c r="Q6" s="19"/>
      <c r="R6" s="19"/>
      <c r="S6" s="19"/>
    </row>
    <row r="7" spans="1:19">
      <c r="A7" s="4">
        <v>229</v>
      </c>
      <c r="B7" s="3">
        <v>146</v>
      </c>
      <c r="C7" s="4">
        <v>159</v>
      </c>
      <c r="D7" s="3">
        <v>105</v>
      </c>
      <c r="E7" s="27"/>
      <c r="O7" s="19">
        <v>2</v>
      </c>
      <c r="P7" s="19">
        <f>SUM(out_col0!A41:D60)</f>
        <v>1481305</v>
      </c>
      <c r="Q7" s="19"/>
      <c r="R7" s="19"/>
      <c r="S7" s="19"/>
    </row>
    <row r="8" spans="1:19">
      <c r="A8" s="4">
        <v>132</v>
      </c>
      <c r="B8" s="3">
        <v>149</v>
      </c>
      <c r="C8" s="4">
        <v>211</v>
      </c>
      <c r="D8" s="3">
        <v>54</v>
      </c>
      <c r="E8" s="27"/>
      <c r="O8" s="19">
        <v>3</v>
      </c>
      <c r="P8" s="19"/>
      <c r="Q8" s="19"/>
      <c r="R8" s="19"/>
      <c r="S8" s="19"/>
    </row>
    <row r="9" spans="1:19">
      <c r="A9" s="4">
        <v>43</v>
      </c>
      <c r="B9" s="3">
        <v>63</v>
      </c>
      <c r="C9" s="4">
        <v>72</v>
      </c>
      <c r="D9" s="3">
        <v>111</v>
      </c>
      <c r="E9" s="27"/>
      <c r="O9" s="19">
        <v>4</v>
      </c>
      <c r="P9" s="19"/>
      <c r="Q9" s="19"/>
      <c r="R9" s="19"/>
      <c r="S9" s="19"/>
    </row>
    <row r="10" spans="1:19">
      <c r="A10" s="6">
        <v>174</v>
      </c>
      <c r="B10" s="5">
        <v>106</v>
      </c>
      <c r="C10" s="6">
        <v>142</v>
      </c>
      <c r="D10" s="5">
        <v>115</v>
      </c>
      <c r="E10" s="27"/>
      <c r="O10" s="19">
        <v>5</v>
      </c>
      <c r="P10" s="19"/>
      <c r="Q10" s="19"/>
      <c r="R10" s="19"/>
      <c r="S10" s="19"/>
    </row>
    <row r="11" spans="1:19">
      <c r="A11" s="1">
        <v>160</v>
      </c>
      <c r="B11" s="2">
        <v>84</v>
      </c>
      <c r="C11" s="1">
        <v>79</v>
      </c>
      <c r="D11" s="2">
        <v>42</v>
      </c>
      <c r="E11" s="27"/>
      <c r="O11" s="19">
        <v>6</v>
      </c>
      <c r="P11" s="19"/>
      <c r="Q11" s="19"/>
      <c r="R11" s="19"/>
      <c r="S11" s="19"/>
    </row>
    <row r="12" spans="1:19">
      <c r="A12" s="3">
        <v>243</v>
      </c>
      <c r="B12" s="4">
        <v>104</v>
      </c>
      <c r="C12" s="3">
        <v>45</v>
      </c>
      <c r="D12" s="4">
        <v>74</v>
      </c>
      <c r="E12" s="27"/>
      <c r="O12" s="19">
        <v>7</v>
      </c>
      <c r="P12" s="19"/>
      <c r="Q12" s="19"/>
      <c r="R12" s="19"/>
      <c r="S12" s="19"/>
    </row>
    <row r="13" spans="1:19">
      <c r="A13" s="3">
        <v>107</v>
      </c>
      <c r="B13" s="4">
        <v>24</v>
      </c>
      <c r="C13" s="3">
        <v>161</v>
      </c>
      <c r="D13" s="4">
        <v>180</v>
      </c>
      <c r="E13" s="27"/>
      <c r="O13" s="19">
        <v>8</v>
      </c>
      <c r="P13" s="19"/>
      <c r="Q13" s="19"/>
      <c r="R13" s="19"/>
      <c r="S13" s="19"/>
    </row>
    <row r="14" spans="1:19">
      <c r="A14" s="3">
        <v>162</v>
      </c>
      <c r="B14" s="4">
        <v>99</v>
      </c>
      <c r="C14" s="3">
        <v>97</v>
      </c>
      <c r="D14" s="4">
        <v>75</v>
      </c>
      <c r="E14" s="27"/>
    </row>
    <row r="15" spans="1:19">
      <c r="A15" s="5">
        <v>117</v>
      </c>
      <c r="B15" s="6">
        <v>242</v>
      </c>
      <c r="C15" s="5">
        <v>231</v>
      </c>
      <c r="D15" s="6">
        <v>59</v>
      </c>
      <c r="E15" s="27"/>
    </row>
    <row r="16" spans="1:19">
      <c r="A16" s="2">
        <v>197</v>
      </c>
      <c r="B16" s="1">
        <v>80</v>
      </c>
      <c r="C16" s="2">
        <v>9</v>
      </c>
      <c r="D16" s="1">
        <v>56</v>
      </c>
      <c r="E16" s="27"/>
    </row>
    <row r="17" spans="1:7">
      <c r="A17" s="4">
        <v>166</v>
      </c>
      <c r="B17" s="3">
        <v>144</v>
      </c>
      <c r="C17" s="4">
        <v>84</v>
      </c>
      <c r="D17" s="3">
        <v>197</v>
      </c>
      <c r="E17" s="27"/>
    </row>
    <row r="18" spans="1:7">
      <c r="A18" s="4">
        <v>27</v>
      </c>
      <c r="B18" s="3">
        <v>238</v>
      </c>
      <c r="C18" s="4">
        <v>91</v>
      </c>
      <c r="D18" s="3">
        <v>38</v>
      </c>
      <c r="E18" s="27"/>
    </row>
    <row r="19" spans="1:7">
      <c r="A19" s="4">
        <v>231</v>
      </c>
      <c r="B19" s="3">
        <v>180</v>
      </c>
      <c r="C19" s="4">
        <v>228</v>
      </c>
      <c r="D19" s="3">
        <v>234</v>
      </c>
      <c r="E19" s="27"/>
    </row>
    <row r="20" spans="1:7">
      <c r="A20" s="6">
        <v>204</v>
      </c>
      <c r="B20" s="5">
        <v>226</v>
      </c>
      <c r="C20" s="6">
        <v>118</v>
      </c>
      <c r="D20" s="5">
        <v>224</v>
      </c>
      <c r="E20" s="27"/>
    </row>
    <row r="21" spans="1:7">
      <c r="A21" s="1">
        <v>179</v>
      </c>
      <c r="B21" s="2">
        <v>203</v>
      </c>
      <c r="C21" s="1">
        <v>142</v>
      </c>
      <c r="D21" s="2">
        <v>203</v>
      </c>
      <c r="E21" s="27" t="s">
        <v>1</v>
      </c>
    </row>
    <row r="22" spans="1:7">
      <c r="A22" s="3">
        <v>251</v>
      </c>
      <c r="B22" s="4">
        <v>194</v>
      </c>
      <c r="C22" s="3">
        <v>115</v>
      </c>
      <c r="D22" s="4">
        <v>167</v>
      </c>
      <c r="E22" s="27"/>
    </row>
    <row r="23" spans="1:7">
      <c r="A23" s="3">
        <v>219</v>
      </c>
      <c r="B23" s="4">
        <v>206</v>
      </c>
      <c r="C23" s="3">
        <v>176</v>
      </c>
      <c r="D23" s="4">
        <v>132</v>
      </c>
      <c r="E23" s="27"/>
    </row>
    <row r="24" spans="1:7">
      <c r="A24" s="3">
        <v>183</v>
      </c>
      <c r="B24" s="4">
        <v>116</v>
      </c>
      <c r="C24" s="3">
        <v>203</v>
      </c>
      <c r="D24" s="4">
        <v>74</v>
      </c>
      <c r="E24" s="27"/>
    </row>
    <row r="25" spans="1:7">
      <c r="A25" s="5">
        <v>189</v>
      </c>
      <c r="B25" s="6">
        <v>32</v>
      </c>
      <c r="C25" s="5">
        <v>100</v>
      </c>
      <c r="D25" s="6">
        <v>211</v>
      </c>
      <c r="E25" s="27"/>
    </row>
    <row r="26" spans="1:7">
      <c r="A26" s="2">
        <v>20</v>
      </c>
      <c r="B26" s="1">
        <v>67</v>
      </c>
      <c r="C26" s="2">
        <v>21</v>
      </c>
      <c r="D26" s="1">
        <v>161</v>
      </c>
      <c r="E26" s="27"/>
    </row>
    <row r="27" spans="1:7">
      <c r="A27" s="4">
        <v>214</v>
      </c>
      <c r="B27" s="3">
        <v>152</v>
      </c>
      <c r="C27" s="4">
        <v>213</v>
      </c>
      <c r="D27" s="3">
        <v>2</v>
      </c>
      <c r="E27" s="27"/>
      <c r="G27">
        <f>mem_dec!A1*mem_dec!A82</f>
        <v>671</v>
      </c>
    </row>
    <row r="28" spans="1:7">
      <c r="A28" s="4">
        <v>196</v>
      </c>
      <c r="B28" s="3">
        <v>154</v>
      </c>
      <c r="C28" s="4">
        <v>93</v>
      </c>
      <c r="D28" s="3">
        <v>139</v>
      </c>
      <c r="E28" s="27"/>
    </row>
    <row r="29" spans="1:7">
      <c r="A29" s="4">
        <v>195</v>
      </c>
      <c r="B29" s="3">
        <v>171</v>
      </c>
      <c r="C29" s="4">
        <v>11</v>
      </c>
      <c r="D29" s="3">
        <v>147</v>
      </c>
      <c r="E29" s="27"/>
    </row>
    <row r="30" spans="1:7">
      <c r="A30" s="6">
        <v>219</v>
      </c>
      <c r="B30" s="5">
        <v>227</v>
      </c>
      <c r="C30" s="6">
        <v>72</v>
      </c>
      <c r="D30" s="5">
        <v>57</v>
      </c>
      <c r="E30" s="27"/>
    </row>
    <row r="31" spans="1:7">
      <c r="A31" s="1">
        <v>40</v>
      </c>
      <c r="B31" s="2">
        <v>32</v>
      </c>
      <c r="C31" s="1">
        <v>159</v>
      </c>
      <c r="D31" s="2">
        <v>65</v>
      </c>
      <c r="E31" s="27"/>
    </row>
    <row r="32" spans="1:7">
      <c r="A32" s="3">
        <v>111</v>
      </c>
      <c r="B32" s="4">
        <v>238</v>
      </c>
      <c r="C32" s="3">
        <v>76</v>
      </c>
      <c r="D32" s="4">
        <v>200</v>
      </c>
      <c r="E32" s="27"/>
    </row>
    <row r="33" spans="1:5">
      <c r="A33" s="3">
        <v>40</v>
      </c>
      <c r="B33" s="4">
        <v>223</v>
      </c>
      <c r="C33" s="3">
        <v>97</v>
      </c>
      <c r="D33" s="4">
        <v>106</v>
      </c>
      <c r="E33" s="27"/>
    </row>
    <row r="34" spans="1:5">
      <c r="A34" s="3">
        <v>3</v>
      </c>
      <c r="B34" s="4">
        <v>235</v>
      </c>
      <c r="C34" s="3">
        <v>44</v>
      </c>
      <c r="D34" s="4">
        <v>147</v>
      </c>
      <c r="E34" s="27"/>
    </row>
    <row r="35" spans="1:5">
      <c r="A35" s="5">
        <v>125</v>
      </c>
      <c r="B35" s="6">
        <v>168</v>
      </c>
      <c r="C35" s="5">
        <v>132</v>
      </c>
      <c r="D35" s="6">
        <v>219</v>
      </c>
      <c r="E35" s="27"/>
    </row>
    <row r="36" spans="1:5">
      <c r="A36" s="2">
        <v>140</v>
      </c>
      <c r="B36" s="1">
        <v>186</v>
      </c>
      <c r="C36" s="2">
        <v>38</v>
      </c>
      <c r="D36" s="1">
        <v>192</v>
      </c>
      <c r="E36" s="27"/>
    </row>
    <row r="37" spans="1:5">
      <c r="A37" s="4">
        <v>55</v>
      </c>
      <c r="B37" s="3">
        <v>58</v>
      </c>
      <c r="C37" s="4">
        <v>216</v>
      </c>
      <c r="D37" s="3">
        <v>3</v>
      </c>
      <c r="E37" s="27"/>
    </row>
    <row r="38" spans="1:5">
      <c r="A38" s="4">
        <v>217</v>
      </c>
      <c r="B38" s="3">
        <v>242</v>
      </c>
      <c r="C38" s="4">
        <v>101</v>
      </c>
      <c r="D38" s="3">
        <v>159</v>
      </c>
      <c r="E38" s="27"/>
    </row>
    <row r="39" spans="1:5">
      <c r="A39" s="4">
        <v>131</v>
      </c>
      <c r="B39" s="3">
        <v>158</v>
      </c>
      <c r="C39" s="4">
        <v>126</v>
      </c>
      <c r="D39" s="3">
        <v>189</v>
      </c>
      <c r="E39" s="27"/>
    </row>
    <row r="40" spans="1:5">
      <c r="A40" s="6">
        <v>193</v>
      </c>
      <c r="B40" s="5">
        <v>250</v>
      </c>
      <c r="C40" s="6">
        <v>182</v>
      </c>
      <c r="D40" s="5">
        <v>222</v>
      </c>
      <c r="E40" s="27"/>
    </row>
    <row r="41" spans="1:5">
      <c r="A41" s="7">
        <v>181</v>
      </c>
      <c r="B41" s="8">
        <v>211</v>
      </c>
      <c r="C41" s="7">
        <v>252</v>
      </c>
      <c r="D41" s="8">
        <v>174</v>
      </c>
      <c r="E41" s="27" t="s">
        <v>2</v>
      </c>
    </row>
    <row r="42" spans="1:5">
      <c r="A42" s="9">
        <v>31</v>
      </c>
      <c r="B42" s="10">
        <v>145</v>
      </c>
      <c r="C42" s="9">
        <v>219</v>
      </c>
      <c r="D42" s="10">
        <v>103</v>
      </c>
      <c r="E42" s="27"/>
    </row>
    <row r="43" spans="1:5">
      <c r="A43" s="9">
        <v>180</v>
      </c>
      <c r="B43" s="10">
        <v>40</v>
      </c>
      <c r="C43" s="9">
        <v>247</v>
      </c>
      <c r="D43" s="10">
        <v>138</v>
      </c>
      <c r="E43" s="27"/>
    </row>
    <row r="44" spans="1:5">
      <c r="A44" s="9">
        <v>71</v>
      </c>
      <c r="B44" s="10">
        <v>41</v>
      </c>
      <c r="C44" s="9">
        <v>134</v>
      </c>
      <c r="D44" s="10">
        <v>116</v>
      </c>
      <c r="E44" s="27"/>
    </row>
    <row r="45" spans="1:5">
      <c r="A45" s="11">
        <v>203</v>
      </c>
      <c r="B45" s="12">
        <v>162</v>
      </c>
      <c r="C45" s="11">
        <v>139</v>
      </c>
      <c r="D45" s="12">
        <v>12</v>
      </c>
      <c r="E45" s="27"/>
    </row>
    <row r="46" spans="1:5">
      <c r="A46" s="8">
        <v>238</v>
      </c>
      <c r="B46" s="7">
        <v>168</v>
      </c>
      <c r="C46" s="8">
        <v>137</v>
      </c>
      <c r="D46" s="7">
        <v>243</v>
      </c>
      <c r="E46" s="27"/>
    </row>
    <row r="47" spans="1:5">
      <c r="A47" s="10">
        <v>103</v>
      </c>
      <c r="B47" s="9">
        <v>160</v>
      </c>
      <c r="C47" s="10">
        <v>35</v>
      </c>
      <c r="D47" s="9">
        <v>230</v>
      </c>
      <c r="E47" s="27"/>
    </row>
    <row r="48" spans="1:5">
      <c r="A48" s="10">
        <v>50</v>
      </c>
      <c r="B48" s="9">
        <v>89</v>
      </c>
      <c r="C48" s="10">
        <v>253</v>
      </c>
      <c r="D48" s="9">
        <v>132</v>
      </c>
      <c r="E48" s="27"/>
    </row>
    <row r="49" spans="1:5">
      <c r="A49" s="10">
        <v>58</v>
      </c>
      <c r="B49" s="9">
        <v>62</v>
      </c>
      <c r="C49" s="10">
        <v>34</v>
      </c>
      <c r="D49" s="9">
        <v>197</v>
      </c>
      <c r="E49" s="27"/>
    </row>
    <row r="50" spans="1:5">
      <c r="A50" s="12">
        <v>125</v>
      </c>
      <c r="B50" s="11">
        <v>207</v>
      </c>
      <c r="C50" s="12">
        <v>81</v>
      </c>
      <c r="D50" s="11">
        <v>237</v>
      </c>
      <c r="E50" s="27"/>
    </row>
    <row r="51" spans="1:5">
      <c r="A51" s="7">
        <v>164</v>
      </c>
      <c r="B51" s="8">
        <v>152</v>
      </c>
      <c r="C51" s="7">
        <v>252</v>
      </c>
      <c r="D51" s="8">
        <v>233</v>
      </c>
      <c r="E51" s="27"/>
    </row>
    <row r="52" spans="1:5">
      <c r="A52" s="9">
        <v>169</v>
      </c>
      <c r="B52" s="10">
        <v>98</v>
      </c>
      <c r="C52" s="9">
        <v>184</v>
      </c>
      <c r="D52" s="10">
        <v>9</v>
      </c>
      <c r="E52" s="27"/>
    </row>
    <row r="53" spans="1:5">
      <c r="A53" s="9">
        <v>111</v>
      </c>
      <c r="B53" s="10">
        <v>59</v>
      </c>
      <c r="C53" s="9">
        <v>167</v>
      </c>
      <c r="D53" s="10">
        <v>137</v>
      </c>
      <c r="E53" s="27"/>
    </row>
    <row r="54" spans="1:5">
      <c r="A54" s="9">
        <v>123</v>
      </c>
      <c r="B54" s="10">
        <v>151</v>
      </c>
      <c r="C54" s="9">
        <v>8</v>
      </c>
      <c r="D54" s="10">
        <v>46</v>
      </c>
      <c r="E54" s="27"/>
    </row>
    <row r="55" spans="1:5">
      <c r="A55" s="11">
        <v>209</v>
      </c>
      <c r="B55" s="12">
        <v>243</v>
      </c>
      <c r="C55" s="11">
        <v>116</v>
      </c>
      <c r="D55" s="12">
        <v>200</v>
      </c>
      <c r="E55" s="27"/>
    </row>
    <row r="56" spans="1:5">
      <c r="A56" s="8">
        <v>92</v>
      </c>
      <c r="B56" s="7">
        <v>57</v>
      </c>
      <c r="C56" s="8">
        <v>30</v>
      </c>
      <c r="D56" s="7">
        <v>241</v>
      </c>
      <c r="E56" s="27"/>
    </row>
    <row r="57" spans="1:5">
      <c r="A57" s="10">
        <v>177</v>
      </c>
      <c r="B57" s="9">
        <v>63</v>
      </c>
      <c r="C57" s="10">
        <v>237</v>
      </c>
      <c r="D57" s="9">
        <v>187</v>
      </c>
      <c r="E57" s="27"/>
    </row>
    <row r="58" spans="1:5">
      <c r="A58" s="10">
        <v>153</v>
      </c>
      <c r="B58" s="9">
        <v>73</v>
      </c>
      <c r="C58" s="10">
        <v>2</v>
      </c>
      <c r="D58" s="9">
        <v>0</v>
      </c>
      <c r="E58" s="27"/>
    </row>
    <row r="59" spans="1:5">
      <c r="A59" s="10">
        <v>99</v>
      </c>
      <c r="B59" s="9">
        <v>22</v>
      </c>
      <c r="C59" s="10">
        <v>94</v>
      </c>
      <c r="D59" s="9">
        <v>247</v>
      </c>
      <c r="E59" s="27"/>
    </row>
    <row r="60" spans="1:5">
      <c r="A60" s="12">
        <v>96</v>
      </c>
      <c r="B60" s="11">
        <v>219</v>
      </c>
      <c r="C60" s="12">
        <v>155</v>
      </c>
      <c r="D60" s="11">
        <v>118</v>
      </c>
      <c r="E60" s="27"/>
    </row>
    <row r="61" spans="1:5">
      <c r="A61" s="7">
        <v>245</v>
      </c>
      <c r="B61" s="8">
        <v>207</v>
      </c>
      <c r="C61" s="7">
        <v>173</v>
      </c>
      <c r="D61" s="8">
        <v>30</v>
      </c>
      <c r="E61" s="27" t="s">
        <v>3</v>
      </c>
    </row>
    <row r="62" spans="1:5">
      <c r="A62" s="9">
        <v>132</v>
      </c>
      <c r="B62" s="10">
        <v>63</v>
      </c>
      <c r="C62" s="9">
        <v>246</v>
      </c>
      <c r="D62" s="10">
        <v>108</v>
      </c>
      <c r="E62" s="27"/>
    </row>
    <row r="63" spans="1:5">
      <c r="A63" s="9">
        <v>223</v>
      </c>
      <c r="B63" s="10">
        <v>221</v>
      </c>
      <c r="C63" s="9">
        <v>60</v>
      </c>
      <c r="D63" s="10">
        <v>153</v>
      </c>
      <c r="E63" s="27"/>
    </row>
    <row r="64" spans="1:5">
      <c r="A64" s="9">
        <v>103</v>
      </c>
      <c r="B64" s="10">
        <v>97</v>
      </c>
      <c r="C64" s="9">
        <v>65</v>
      </c>
      <c r="D64" s="10">
        <v>3</v>
      </c>
      <c r="E64" s="27"/>
    </row>
    <row r="65" spans="1:5">
      <c r="A65" s="11">
        <v>51</v>
      </c>
      <c r="B65" s="12">
        <v>112</v>
      </c>
      <c r="C65" s="11">
        <v>220</v>
      </c>
      <c r="D65" s="12">
        <v>207</v>
      </c>
      <c r="E65" s="27"/>
    </row>
    <row r="66" spans="1:5">
      <c r="A66" s="8">
        <v>91</v>
      </c>
      <c r="B66" s="7">
        <v>178</v>
      </c>
      <c r="C66" s="8">
        <v>145</v>
      </c>
      <c r="D66" s="7">
        <v>60</v>
      </c>
      <c r="E66" s="27"/>
    </row>
    <row r="67" spans="1:5">
      <c r="A67" s="10">
        <v>118</v>
      </c>
      <c r="B67" s="9">
        <v>39</v>
      </c>
      <c r="C67" s="10">
        <v>155</v>
      </c>
      <c r="D67" s="9">
        <v>229</v>
      </c>
      <c r="E67" s="27"/>
    </row>
    <row r="68" spans="1:5">
      <c r="A68" s="10">
        <v>251</v>
      </c>
      <c r="B68" s="9">
        <v>247</v>
      </c>
      <c r="C68" s="10">
        <v>218</v>
      </c>
      <c r="D68" s="9">
        <v>168</v>
      </c>
      <c r="E68" s="27"/>
    </row>
    <row r="69" spans="1:5">
      <c r="A69" s="10">
        <v>33</v>
      </c>
      <c r="B69" s="9">
        <v>46</v>
      </c>
      <c r="C69" s="10">
        <v>2</v>
      </c>
      <c r="D69" s="9">
        <v>208</v>
      </c>
      <c r="E69" s="27"/>
    </row>
    <row r="70" spans="1:5">
      <c r="A70" s="12">
        <v>250</v>
      </c>
      <c r="B70" s="11">
        <v>188</v>
      </c>
      <c r="C70" s="12">
        <v>130</v>
      </c>
      <c r="D70" s="11">
        <v>0</v>
      </c>
      <c r="E70" s="27"/>
    </row>
    <row r="71" spans="1:5">
      <c r="A71" s="7">
        <v>100</v>
      </c>
      <c r="B71" s="8">
        <v>70</v>
      </c>
      <c r="C71" s="7">
        <v>59</v>
      </c>
      <c r="D71" s="8">
        <v>136</v>
      </c>
      <c r="E71" s="27"/>
    </row>
    <row r="72" spans="1:5">
      <c r="A72" s="9">
        <v>210</v>
      </c>
      <c r="B72" s="10">
        <v>110</v>
      </c>
      <c r="C72" s="9">
        <v>113</v>
      </c>
      <c r="D72" s="10">
        <v>100</v>
      </c>
      <c r="E72" s="27"/>
    </row>
    <row r="73" spans="1:5">
      <c r="A73" s="9">
        <v>39</v>
      </c>
      <c r="B73" s="10">
        <v>25</v>
      </c>
      <c r="C73" s="9">
        <v>102</v>
      </c>
      <c r="D73" s="10">
        <v>184</v>
      </c>
      <c r="E73" s="27"/>
    </row>
    <row r="74" spans="1:5">
      <c r="A74" s="9">
        <v>151</v>
      </c>
      <c r="B74" s="10">
        <v>197</v>
      </c>
      <c r="C74" s="9">
        <v>250</v>
      </c>
      <c r="D74" s="10">
        <v>201</v>
      </c>
      <c r="E74" s="27"/>
    </row>
    <row r="75" spans="1:5">
      <c r="A75" s="11">
        <v>217</v>
      </c>
      <c r="B75" s="12">
        <v>237</v>
      </c>
      <c r="C75" s="11">
        <v>60</v>
      </c>
      <c r="D75" s="12">
        <v>67</v>
      </c>
      <c r="E75" s="27"/>
    </row>
    <row r="76" spans="1:5">
      <c r="A76" s="8">
        <v>240</v>
      </c>
      <c r="B76" s="7">
        <v>113</v>
      </c>
      <c r="C76" s="8">
        <v>10</v>
      </c>
      <c r="D76" s="7">
        <v>44</v>
      </c>
      <c r="E76" s="27"/>
    </row>
    <row r="77" spans="1:5">
      <c r="A77" s="10">
        <v>163</v>
      </c>
      <c r="B77" s="9">
        <v>70</v>
      </c>
      <c r="C77" s="10">
        <v>125</v>
      </c>
      <c r="D77" s="9">
        <v>150</v>
      </c>
      <c r="E77" s="27"/>
    </row>
    <row r="78" spans="1:5">
      <c r="A78" s="10">
        <v>173</v>
      </c>
      <c r="B78" s="9">
        <v>200</v>
      </c>
      <c r="C78" s="10">
        <v>105</v>
      </c>
      <c r="D78" s="9">
        <v>34</v>
      </c>
      <c r="E78" s="27"/>
    </row>
    <row r="79" spans="1:5">
      <c r="A79" s="10">
        <v>215</v>
      </c>
      <c r="B79" s="9">
        <v>59</v>
      </c>
      <c r="C79" s="10">
        <v>182</v>
      </c>
      <c r="D79" s="9">
        <v>249</v>
      </c>
      <c r="E79" s="27"/>
    </row>
    <row r="80" spans="1:5">
      <c r="A80" s="12">
        <v>18</v>
      </c>
      <c r="B80" s="11">
        <v>81</v>
      </c>
      <c r="C80" s="12">
        <v>218</v>
      </c>
      <c r="D80" s="11">
        <v>141</v>
      </c>
      <c r="E80" s="27"/>
    </row>
    <row r="81" spans="1:4">
      <c r="A81" s="13">
        <v>249</v>
      </c>
      <c r="B81" s="14">
        <v>161</v>
      </c>
      <c r="C81" s="13">
        <v>30</v>
      </c>
      <c r="D81" s="14">
        <v>216</v>
      </c>
    </row>
    <row r="82" spans="1:4">
      <c r="A82" s="15">
        <v>61</v>
      </c>
      <c r="B82" s="16">
        <v>132</v>
      </c>
      <c r="C82" s="15">
        <v>101</v>
      </c>
      <c r="D82" s="16">
        <v>130</v>
      </c>
    </row>
    <row r="83" spans="1:4">
      <c r="A83" s="15">
        <v>78</v>
      </c>
      <c r="B83" s="16">
        <v>55</v>
      </c>
      <c r="C83" s="15">
        <v>221</v>
      </c>
      <c r="D83" s="16">
        <v>72</v>
      </c>
    </row>
    <row r="84" spans="1:4">
      <c r="A84" s="15">
        <v>137</v>
      </c>
      <c r="B84" s="16">
        <v>156</v>
      </c>
      <c r="C84" s="15">
        <v>151</v>
      </c>
      <c r="D84" s="16">
        <v>90</v>
      </c>
    </row>
    <row r="85" spans="1:4">
      <c r="A85" s="15">
        <v>199</v>
      </c>
      <c r="B85" s="16">
        <v>229</v>
      </c>
      <c r="C85" s="15">
        <v>136</v>
      </c>
      <c r="D85" s="16">
        <v>119</v>
      </c>
    </row>
    <row r="86" spans="1:4">
      <c r="A86" s="15">
        <v>117</v>
      </c>
      <c r="B86" s="16">
        <v>103</v>
      </c>
      <c r="C86" s="15">
        <v>144</v>
      </c>
      <c r="D86" s="16">
        <v>19</v>
      </c>
    </row>
    <row r="87" spans="1:4">
      <c r="A87" s="15">
        <v>147</v>
      </c>
      <c r="B87" s="16">
        <v>51</v>
      </c>
      <c r="C87" s="15">
        <v>130</v>
      </c>
      <c r="D87" s="16">
        <v>44</v>
      </c>
    </row>
    <row r="88" spans="1:4">
      <c r="A88" s="15">
        <v>139</v>
      </c>
      <c r="B88" s="16">
        <v>37</v>
      </c>
      <c r="C88" s="15">
        <v>60</v>
      </c>
      <c r="D88" s="16">
        <v>213</v>
      </c>
    </row>
    <row r="89" spans="1:4">
      <c r="A89" s="14">
        <v>214</v>
      </c>
      <c r="B89" s="13">
        <v>255</v>
      </c>
      <c r="C89" s="14">
        <v>43</v>
      </c>
      <c r="D89" s="13">
        <v>230</v>
      </c>
    </row>
    <row r="90" spans="1:4">
      <c r="A90" s="16">
        <v>41</v>
      </c>
      <c r="B90" s="15">
        <v>220</v>
      </c>
      <c r="C90" s="16">
        <v>156</v>
      </c>
      <c r="D90" s="15">
        <v>19</v>
      </c>
    </row>
    <row r="91" spans="1:4">
      <c r="A91" s="16">
        <v>239</v>
      </c>
      <c r="B91" s="15">
        <v>79</v>
      </c>
      <c r="C91" s="16">
        <v>196</v>
      </c>
      <c r="D91" s="15">
        <v>91</v>
      </c>
    </row>
    <row r="92" spans="1:4">
      <c r="A92" s="16">
        <v>113</v>
      </c>
      <c r="B92" s="15">
        <v>220</v>
      </c>
      <c r="C92" s="16">
        <v>184</v>
      </c>
      <c r="D92" s="15">
        <v>133</v>
      </c>
    </row>
    <row r="93" spans="1:4">
      <c r="A93" s="16">
        <v>212</v>
      </c>
      <c r="B93" s="15">
        <v>17</v>
      </c>
      <c r="C93" s="16">
        <v>138</v>
      </c>
      <c r="D93" s="15">
        <v>112</v>
      </c>
    </row>
    <row r="94" spans="1:4">
      <c r="A94" s="16">
        <v>171</v>
      </c>
      <c r="B94" s="15">
        <v>18</v>
      </c>
      <c r="C94" s="16">
        <v>6</v>
      </c>
      <c r="D94" s="15">
        <v>140</v>
      </c>
    </row>
    <row r="95" spans="1:4">
      <c r="A95" s="16">
        <v>250</v>
      </c>
      <c r="B95" s="15">
        <v>28</v>
      </c>
      <c r="C95" s="16">
        <v>250</v>
      </c>
      <c r="D95" s="15">
        <v>230</v>
      </c>
    </row>
    <row r="96" spans="1:4">
      <c r="A96" s="16">
        <v>109</v>
      </c>
      <c r="B96" s="15">
        <v>140</v>
      </c>
      <c r="C96" s="16">
        <v>92</v>
      </c>
      <c r="D96" s="15">
        <v>95</v>
      </c>
    </row>
    <row r="97" spans="1:9">
      <c r="A97" s="13">
        <v>247</v>
      </c>
      <c r="B97" s="14">
        <v>164</v>
      </c>
      <c r="C97" s="13">
        <v>39</v>
      </c>
      <c r="D97" s="14">
        <v>213</v>
      </c>
    </row>
    <row r="98" spans="1:9">
      <c r="A98" s="15">
        <v>16</v>
      </c>
      <c r="B98" s="16">
        <v>241</v>
      </c>
      <c r="C98" s="15">
        <v>131</v>
      </c>
      <c r="D98" s="16">
        <v>86</v>
      </c>
    </row>
    <row r="99" spans="1:9">
      <c r="A99" s="15">
        <v>186</v>
      </c>
      <c r="B99" s="16">
        <v>238</v>
      </c>
      <c r="C99" s="15">
        <v>1</v>
      </c>
      <c r="D99" s="16">
        <v>208</v>
      </c>
    </row>
    <row r="100" spans="1:9">
      <c r="A100" s="15">
        <v>191</v>
      </c>
      <c r="B100" s="16">
        <v>87</v>
      </c>
      <c r="C100" s="15">
        <v>248</v>
      </c>
      <c r="D100" s="16">
        <v>35</v>
      </c>
    </row>
    <row r="101" spans="1:9">
      <c r="A101" s="15">
        <v>168</v>
      </c>
      <c r="B101" s="16">
        <v>21</v>
      </c>
      <c r="C101" s="15">
        <v>94</v>
      </c>
      <c r="D101" s="16">
        <v>178</v>
      </c>
    </row>
    <row r="102" spans="1:9">
      <c r="A102" s="15">
        <v>122</v>
      </c>
      <c r="B102" s="16">
        <v>144</v>
      </c>
      <c r="C102" s="15">
        <v>218</v>
      </c>
      <c r="D102" s="16">
        <v>164</v>
      </c>
    </row>
    <row r="103" spans="1:9">
      <c r="A103" s="15">
        <v>249</v>
      </c>
      <c r="B103" s="16">
        <v>31</v>
      </c>
      <c r="C103" s="15">
        <v>24</v>
      </c>
      <c r="D103" s="16">
        <v>5</v>
      </c>
    </row>
    <row r="104" spans="1:9">
      <c r="A104" s="15">
        <v>215</v>
      </c>
      <c r="B104" s="16">
        <v>35</v>
      </c>
      <c r="C104" s="15">
        <v>57</v>
      </c>
      <c r="D104" s="16">
        <v>233</v>
      </c>
    </row>
    <row r="105" spans="1:9">
      <c r="A105" s="14">
        <v>13</v>
      </c>
      <c r="B105" s="13">
        <v>156</v>
      </c>
      <c r="C105" s="14">
        <v>253</v>
      </c>
      <c r="D105" s="13">
        <v>168</v>
      </c>
      <c r="I105" s="21"/>
    </row>
    <row r="106" spans="1:9">
      <c r="A106" s="16">
        <v>90</v>
      </c>
      <c r="B106" s="15">
        <v>239</v>
      </c>
      <c r="C106" s="16">
        <v>74</v>
      </c>
      <c r="D106" s="15">
        <v>214</v>
      </c>
    </row>
    <row r="107" spans="1:9">
      <c r="A107" s="16">
        <v>110</v>
      </c>
      <c r="B107" s="15">
        <v>105</v>
      </c>
      <c r="C107" s="16">
        <v>130</v>
      </c>
      <c r="D107" s="15">
        <v>137</v>
      </c>
    </row>
    <row r="108" spans="1:9">
      <c r="A108" s="16">
        <v>76</v>
      </c>
      <c r="B108" s="15">
        <v>237</v>
      </c>
      <c r="C108" s="16">
        <v>214</v>
      </c>
      <c r="D108" s="15">
        <v>95</v>
      </c>
    </row>
    <row r="109" spans="1:9">
      <c r="A109" s="16">
        <v>241</v>
      </c>
      <c r="B109" s="15">
        <v>33</v>
      </c>
      <c r="C109" s="16">
        <v>218</v>
      </c>
      <c r="D109" s="15">
        <v>94</v>
      </c>
    </row>
    <row r="110" spans="1:9">
      <c r="A110" s="16">
        <v>93</v>
      </c>
      <c r="B110" s="15">
        <v>132</v>
      </c>
      <c r="C110" s="16">
        <v>7</v>
      </c>
      <c r="D110" s="15">
        <v>154</v>
      </c>
    </row>
    <row r="111" spans="1:9">
      <c r="A111" s="16">
        <v>80</v>
      </c>
      <c r="B111" s="15">
        <v>135</v>
      </c>
      <c r="C111" s="16">
        <v>79</v>
      </c>
      <c r="D111" s="15">
        <v>115</v>
      </c>
    </row>
    <row r="112" spans="1:9">
      <c r="A112" s="16">
        <v>92</v>
      </c>
      <c r="B112" s="15">
        <v>32</v>
      </c>
      <c r="C112" s="16">
        <v>116</v>
      </c>
      <c r="D112" s="15">
        <v>154</v>
      </c>
    </row>
    <row r="113" spans="1:7">
      <c r="A113" s="22">
        <v>0</v>
      </c>
      <c r="B113" s="22">
        <v>0</v>
      </c>
      <c r="C113" s="22">
        <v>0</v>
      </c>
      <c r="D113" s="22">
        <v>0</v>
      </c>
    </row>
    <row r="114" spans="1:7">
      <c r="A114" s="22">
        <v>0</v>
      </c>
      <c r="B114" s="22">
        <v>0</v>
      </c>
      <c r="C114" s="22">
        <v>0</v>
      </c>
      <c r="D114" s="22">
        <v>0</v>
      </c>
    </row>
    <row r="115" spans="1:7">
      <c r="A115" s="22">
        <v>0</v>
      </c>
      <c r="B115" s="22">
        <v>0</v>
      </c>
      <c r="C115" s="22">
        <v>0</v>
      </c>
      <c r="D115" s="22">
        <v>0</v>
      </c>
      <c r="G115" s="21"/>
    </row>
    <row r="116" spans="1:7">
      <c r="A116" s="22">
        <v>0</v>
      </c>
      <c r="B116" s="22">
        <v>0</v>
      </c>
      <c r="C116" s="22">
        <v>0</v>
      </c>
      <c r="D116" s="22">
        <v>0</v>
      </c>
    </row>
    <row r="117" spans="1:7">
      <c r="A117" s="19">
        <v>0</v>
      </c>
      <c r="B117" s="19">
        <v>0</v>
      </c>
      <c r="C117" s="19">
        <v>0</v>
      </c>
      <c r="D117" s="19">
        <v>0</v>
      </c>
    </row>
    <row r="118" spans="1:7">
      <c r="A118" s="19">
        <v>0</v>
      </c>
      <c r="B118" s="19">
        <v>0</v>
      </c>
      <c r="C118" s="19">
        <v>0</v>
      </c>
      <c r="D118" s="19">
        <v>0</v>
      </c>
    </row>
    <row r="119" spans="1:7">
      <c r="A119" s="19">
        <v>0</v>
      </c>
      <c r="B119" s="19">
        <v>0</v>
      </c>
      <c r="C119" s="19">
        <v>0</v>
      </c>
      <c r="D119" s="19">
        <v>0</v>
      </c>
    </row>
    <row r="120" spans="1:7">
      <c r="A120" s="19">
        <v>0</v>
      </c>
      <c r="B120" s="19">
        <v>0</v>
      </c>
      <c r="C120" s="19">
        <v>0</v>
      </c>
      <c r="D120" s="19">
        <v>0</v>
      </c>
    </row>
    <row r="121" spans="1:7">
      <c r="A121" s="19">
        <v>0</v>
      </c>
      <c r="B121" s="19">
        <v>0</v>
      </c>
      <c r="C121" s="19">
        <v>0</v>
      </c>
      <c r="D121" s="19">
        <v>0</v>
      </c>
    </row>
    <row r="122" spans="1:7">
      <c r="A122" s="19">
        <v>0</v>
      </c>
      <c r="B122" s="19">
        <v>0</v>
      </c>
      <c r="C122" s="19">
        <v>0</v>
      </c>
      <c r="D122" s="19">
        <v>0</v>
      </c>
    </row>
    <row r="123" spans="1:7">
      <c r="A123" s="19">
        <v>0</v>
      </c>
      <c r="B123" s="19">
        <v>0</v>
      </c>
      <c r="C123" s="19">
        <v>0</v>
      </c>
      <c r="D123" s="19">
        <v>0</v>
      </c>
    </row>
    <row r="124" spans="1:7">
      <c r="A124" s="19">
        <v>0</v>
      </c>
      <c r="B124" s="19">
        <v>0</v>
      </c>
      <c r="C124" s="19">
        <v>0</v>
      </c>
      <c r="D124" s="19">
        <v>0</v>
      </c>
    </row>
    <row r="125" spans="1:7">
      <c r="A125" s="19">
        <v>0</v>
      </c>
      <c r="B125" s="19">
        <v>0</v>
      </c>
      <c r="C125" s="19">
        <v>0</v>
      </c>
      <c r="D125" s="19">
        <v>0</v>
      </c>
    </row>
    <row r="126" spans="1:7">
      <c r="A126" s="19">
        <v>0</v>
      </c>
      <c r="B126" s="19">
        <v>0</v>
      </c>
      <c r="C126" s="19">
        <v>0</v>
      </c>
      <c r="D126" s="19">
        <v>0</v>
      </c>
    </row>
    <row r="127" spans="1:7">
      <c r="A127" s="19">
        <v>0</v>
      </c>
      <c r="B127" s="19">
        <v>0</v>
      </c>
      <c r="C127" s="19">
        <v>0</v>
      </c>
      <c r="D127" s="19">
        <v>0</v>
      </c>
    </row>
    <row r="128" spans="1:7">
      <c r="A128" s="19">
        <v>0</v>
      </c>
      <c r="B128" s="19">
        <v>0</v>
      </c>
      <c r="C128" s="19">
        <v>0</v>
      </c>
      <c r="D128" s="19">
        <v>0</v>
      </c>
    </row>
  </sheetData>
  <mergeCells count="5">
    <mergeCell ref="E1:E20"/>
    <mergeCell ref="E21:E40"/>
    <mergeCell ref="E41:E60"/>
    <mergeCell ref="E61:E80"/>
    <mergeCell ref="P3: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9DCBA-92F6-44C0-9EE6-B1F7F09E4F05}">
  <dimension ref="A1:F154"/>
  <sheetViews>
    <sheetView topLeftCell="A105" workbookViewId="0">
      <selection activeCell="F2" sqref="F2"/>
    </sheetView>
  </sheetViews>
  <sheetFormatPr defaultRowHeight="14.25"/>
  <sheetData>
    <row r="1" spans="1:6">
      <c r="A1" s="1" t="str">
        <f>DEC2HEX(mem_dec!A1)</f>
        <v>B</v>
      </c>
      <c r="B1" s="2" t="str">
        <f>DEC2HEX(mem_dec!B1)</f>
        <v>AA</v>
      </c>
      <c r="C1" s="1" t="str">
        <f>DEC2HEX(mem_dec!C1)</f>
        <v>19</v>
      </c>
      <c r="D1" s="2" t="str">
        <f>DEC2HEX(mem_dec!D1)</f>
        <v>10</v>
      </c>
      <c r="E1" s="27" t="s">
        <v>0</v>
      </c>
      <c r="F1" t="s">
        <v>7</v>
      </c>
    </row>
    <row r="2" spans="1:6">
      <c r="A2" s="3" t="str">
        <f>DEC2HEX(mem_dec!A2)</f>
        <v>45</v>
      </c>
      <c r="B2" s="4" t="str">
        <f>DEC2HEX(mem_dec!B2)</f>
        <v>AB</v>
      </c>
      <c r="C2" s="3" t="str">
        <f>DEC2HEX(mem_dec!C2)</f>
        <v>BC</v>
      </c>
      <c r="D2" s="4" t="str">
        <f>DEC2HEX(mem_dec!D2)</f>
        <v>C9</v>
      </c>
      <c r="E2" s="27"/>
      <c r="F2" t="s">
        <v>8</v>
      </c>
    </row>
    <row r="3" spans="1:6">
      <c r="A3" s="3" t="str">
        <f>DEC2HEX(mem_dec!A3)</f>
        <v>2A</v>
      </c>
      <c r="B3" s="4" t="str">
        <f>DEC2HEX(mem_dec!B3)</f>
        <v>7E</v>
      </c>
      <c r="C3" s="3" t="str">
        <f>DEC2HEX(mem_dec!C3)</f>
        <v>A0</v>
      </c>
      <c r="D3" s="4" t="str">
        <f>DEC2HEX(mem_dec!D3)</f>
        <v>F2</v>
      </c>
      <c r="E3" s="27"/>
    </row>
    <row r="4" spans="1:6">
      <c r="A4" s="3" t="str">
        <f>DEC2HEX(mem_dec!A4)</f>
        <v>C</v>
      </c>
      <c r="B4" s="4" t="str">
        <f>DEC2HEX(mem_dec!B4)</f>
        <v>DF</v>
      </c>
      <c r="C4" s="3" t="str">
        <f>DEC2HEX(mem_dec!C4)</f>
        <v>A1</v>
      </c>
      <c r="D4" s="4" t="str">
        <f>DEC2HEX(mem_dec!D4)</f>
        <v>93</v>
      </c>
      <c r="E4" s="27"/>
    </row>
    <row r="5" spans="1:6">
      <c r="A5" s="5" t="str">
        <f>DEC2HEX(mem_dec!A5)</f>
        <v>1</v>
      </c>
      <c r="B5" s="6" t="str">
        <f>DEC2HEX(mem_dec!B5)</f>
        <v>E0</v>
      </c>
      <c r="C5" s="5" t="str">
        <f>DEC2HEX(mem_dec!C5)</f>
        <v>49</v>
      </c>
      <c r="D5" s="6" t="str">
        <f>DEC2HEX(mem_dec!D5)</f>
        <v>90</v>
      </c>
      <c r="E5" s="27"/>
    </row>
    <row r="6" spans="1:6">
      <c r="A6" s="2" t="str">
        <f>DEC2HEX(mem_dec!A6)</f>
        <v>A8</v>
      </c>
      <c r="B6" s="1" t="str">
        <f>DEC2HEX(mem_dec!B6)</f>
        <v>B0</v>
      </c>
      <c r="C6" s="2" t="str">
        <f>DEC2HEX(mem_dec!C6)</f>
        <v>E2</v>
      </c>
      <c r="D6" s="1" t="str">
        <f>DEC2HEX(mem_dec!D6)</f>
        <v>E</v>
      </c>
      <c r="E6" s="27"/>
    </row>
    <row r="7" spans="1:6">
      <c r="A7" s="4" t="str">
        <f>DEC2HEX(mem_dec!A7)</f>
        <v>E5</v>
      </c>
      <c r="B7" s="3" t="str">
        <f>DEC2HEX(mem_dec!B7)</f>
        <v>92</v>
      </c>
      <c r="C7" s="4" t="str">
        <f>DEC2HEX(mem_dec!C7)</f>
        <v>9F</v>
      </c>
      <c r="D7" s="3" t="str">
        <f>DEC2HEX(mem_dec!D7)</f>
        <v>69</v>
      </c>
      <c r="E7" s="27"/>
    </row>
    <row r="8" spans="1:6">
      <c r="A8" s="4" t="str">
        <f>DEC2HEX(mem_dec!A8)</f>
        <v>84</v>
      </c>
      <c r="B8" s="3" t="str">
        <f>DEC2HEX(mem_dec!B8)</f>
        <v>95</v>
      </c>
      <c r="C8" s="4" t="str">
        <f>DEC2HEX(mem_dec!C8)</f>
        <v>D3</v>
      </c>
      <c r="D8" s="3" t="str">
        <f>DEC2HEX(mem_dec!D8)</f>
        <v>36</v>
      </c>
      <c r="E8" s="27"/>
    </row>
    <row r="9" spans="1:6">
      <c r="A9" s="4" t="str">
        <f>DEC2HEX(mem_dec!A9)</f>
        <v>2B</v>
      </c>
      <c r="B9" s="3" t="str">
        <f>DEC2HEX(mem_dec!B9)</f>
        <v>3F</v>
      </c>
      <c r="C9" s="4" t="str">
        <f>DEC2HEX(mem_dec!C9)</f>
        <v>48</v>
      </c>
      <c r="D9" s="3" t="str">
        <f>DEC2HEX(mem_dec!D9)</f>
        <v>6F</v>
      </c>
      <c r="E9" s="27"/>
    </row>
    <row r="10" spans="1:6">
      <c r="A10" s="6" t="str">
        <f>DEC2HEX(mem_dec!A10)</f>
        <v>AE</v>
      </c>
      <c r="B10" s="5" t="str">
        <f>DEC2HEX(mem_dec!B10)</f>
        <v>6A</v>
      </c>
      <c r="C10" s="6" t="str">
        <f>DEC2HEX(mem_dec!C10)</f>
        <v>8E</v>
      </c>
      <c r="D10" s="5" t="str">
        <f>DEC2HEX(mem_dec!D10)</f>
        <v>73</v>
      </c>
      <c r="E10" s="27"/>
    </row>
    <row r="11" spans="1:6">
      <c r="A11" s="1" t="str">
        <f>DEC2HEX(mem_dec!A11)</f>
        <v>A0</v>
      </c>
      <c r="B11" s="2" t="str">
        <f>DEC2HEX(mem_dec!B11)</f>
        <v>54</v>
      </c>
      <c r="C11" s="1" t="str">
        <f>DEC2HEX(mem_dec!C11)</f>
        <v>4F</v>
      </c>
      <c r="D11" s="2" t="str">
        <f>DEC2HEX(mem_dec!D11)</f>
        <v>2A</v>
      </c>
      <c r="E11" s="27"/>
    </row>
    <row r="12" spans="1:6">
      <c r="A12" s="3" t="str">
        <f>DEC2HEX(mem_dec!A12)</f>
        <v>F3</v>
      </c>
      <c r="B12" s="4" t="str">
        <f>DEC2HEX(mem_dec!B12)</f>
        <v>68</v>
      </c>
      <c r="C12" s="3" t="str">
        <f>DEC2HEX(mem_dec!C12)</f>
        <v>2D</v>
      </c>
      <c r="D12" s="4" t="str">
        <f>DEC2HEX(mem_dec!D12)</f>
        <v>4A</v>
      </c>
      <c r="E12" s="27"/>
    </row>
    <row r="13" spans="1:6">
      <c r="A13" s="3" t="str">
        <f>DEC2HEX(mem_dec!A13)</f>
        <v>6B</v>
      </c>
      <c r="B13" s="4" t="str">
        <f>DEC2HEX(mem_dec!B13)</f>
        <v>18</v>
      </c>
      <c r="C13" s="3" t="str">
        <f>DEC2HEX(mem_dec!C13)</f>
        <v>A1</v>
      </c>
      <c r="D13" s="4" t="str">
        <f>DEC2HEX(mem_dec!D13)</f>
        <v>B4</v>
      </c>
      <c r="E13" s="27"/>
    </row>
    <row r="14" spans="1:6">
      <c r="A14" s="3" t="str">
        <f>DEC2HEX(mem_dec!A14)</f>
        <v>A2</v>
      </c>
      <c r="B14" s="4" t="str">
        <f>DEC2HEX(mem_dec!B14)</f>
        <v>63</v>
      </c>
      <c r="C14" s="3" t="str">
        <f>DEC2HEX(mem_dec!C14)</f>
        <v>61</v>
      </c>
      <c r="D14" s="4" t="str">
        <f>DEC2HEX(mem_dec!D14)</f>
        <v>4B</v>
      </c>
      <c r="E14" s="27"/>
    </row>
    <row r="15" spans="1:6">
      <c r="A15" s="5" t="str">
        <f>DEC2HEX(mem_dec!A15)</f>
        <v>75</v>
      </c>
      <c r="B15" s="6" t="str">
        <f>DEC2HEX(mem_dec!B15)</f>
        <v>F2</v>
      </c>
      <c r="C15" s="5" t="str">
        <f>DEC2HEX(mem_dec!C15)</f>
        <v>E7</v>
      </c>
      <c r="D15" s="6" t="str">
        <f>DEC2HEX(mem_dec!D15)</f>
        <v>3B</v>
      </c>
      <c r="E15" s="27"/>
    </row>
    <row r="16" spans="1:6">
      <c r="A16" s="2" t="str">
        <f>DEC2HEX(mem_dec!A16)</f>
        <v>C5</v>
      </c>
      <c r="B16" s="1" t="str">
        <f>DEC2HEX(mem_dec!B16)</f>
        <v>50</v>
      </c>
      <c r="C16" s="2" t="str">
        <f>DEC2HEX(mem_dec!C16)</f>
        <v>9</v>
      </c>
      <c r="D16" s="1" t="str">
        <f>DEC2HEX(mem_dec!D16)</f>
        <v>38</v>
      </c>
      <c r="E16" s="27"/>
    </row>
    <row r="17" spans="1:5">
      <c r="A17" s="4" t="str">
        <f>DEC2HEX(mem_dec!A17)</f>
        <v>A6</v>
      </c>
      <c r="B17" s="3" t="str">
        <f>DEC2HEX(mem_dec!B17)</f>
        <v>90</v>
      </c>
      <c r="C17" s="4" t="str">
        <f>DEC2HEX(mem_dec!C17)</f>
        <v>54</v>
      </c>
      <c r="D17" s="3" t="str">
        <f>DEC2HEX(mem_dec!D17)</f>
        <v>C5</v>
      </c>
      <c r="E17" s="27"/>
    </row>
    <row r="18" spans="1:5">
      <c r="A18" s="4" t="str">
        <f>DEC2HEX(mem_dec!A18)</f>
        <v>1B</v>
      </c>
      <c r="B18" s="3" t="str">
        <f>DEC2HEX(mem_dec!B18)</f>
        <v>EE</v>
      </c>
      <c r="C18" s="4" t="str">
        <f>DEC2HEX(mem_dec!C18)</f>
        <v>5B</v>
      </c>
      <c r="D18" s="3" t="str">
        <f>DEC2HEX(mem_dec!D18)</f>
        <v>26</v>
      </c>
      <c r="E18" s="27"/>
    </row>
    <row r="19" spans="1:5">
      <c r="A19" s="4" t="str">
        <f>DEC2HEX(mem_dec!A19)</f>
        <v>E7</v>
      </c>
      <c r="B19" s="3" t="str">
        <f>DEC2HEX(mem_dec!B19)</f>
        <v>B4</v>
      </c>
      <c r="C19" s="4" t="str">
        <f>DEC2HEX(mem_dec!C19)</f>
        <v>E4</v>
      </c>
      <c r="D19" s="3" t="str">
        <f>DEC2HEX(mem_dec!D19)</f>
        <v>EA</v>
      </c>
      <c r="E19" s="27"/>
    </row>
    <row r="20" spans="1:5">
      <c r="A20" s="6" t="str">
        <f>DEC2HEX(mem_dec!A20)</f>
        <v>CC</v>
      </c>
      <c r="B20" s="5" t="str">
        <f>DEC2HEX(mem_dec!B20)</f>
        <v>E2</v>
      </c>
      <c r="C20" s="6" t="str">
        <f>DEC2HEX(mem_dec!C20)</f>
        <v>76</v>
      </c>
      <c r="D20" s="5" t="str">
        <f>DEC2HEX(mem_dec!D20)</f>
        <v>E0</v>
      </c>
      <c r="E20" s="27"/>
    </row>
    <row r="21" spans="1:5">
      <c r="A21" s="1" t="str">
        <f>DEC2HEX(mem_dec!A21)</f>
        <v>B3</v>
      </c>
      <c r="B21" s="2" t="str">
        <f>DEC2HEX(mem_dec!B21)</f>
        <v>CB</v>
      </c>
      <c r="C21" s="1" t="str">
        <f>DEC2HEX(mem_dec!C21)</f>
        <v>8E</v>
      </c>
      <c r="D21" s="2" t="str">
        <f>DEC2HEX(mem_dec!D21)</f>
        <v>CB</v>
      </c>
      <c r="E21" s="27" t="s">
        <v>1</v>
      </c>
    </row>
    <row r="22" spans="1:5">
      <c r="A22" s="3" t="str">
        <f>DEC2HEX(mem_dec!A22)</f>
        <v>FB</v>
      </c>
      <c r="B22" s="4" t="str">
        <f>DEC2HEX(mem_dec!B22)</f>
        <v>C2</v>
      </c>
      <c r="C22" s="3" t="str">
        <f>DEC2HEX(mem_dec!C22)</f>
        <v>73</v>
      </c>
      <c r="D22" s="4" t="str">
        <f>DEC2HEX(mem_dec!D22)</f>
        <v>A7</v>
      </c>
      <c r="E22" s="27"/>
    </row>
    <row r="23" spans="1:5">
      <c r="A23" s="3" t="str">
        <f>DEC2HEX(mem_dec!A23)</f>
        <v>DB</v>
      </c>
      <c r="B23" s="4" t="str">
        <f>DEC2HEX(mem_dec!B23)</f>
        <v>CE</v>
      </c>
      <c r="C23" s="3" t="str">
        <f>DEC2HEX(mem_dec!C23)</f>
        <v>B0</v>
      </c>
      <c r="D23" s="4" t="str">
        <f>DEC2HEX(mem_dec!D23)</f>
        <v>84</v>
      </c>
      <c r="E23" s="27"/>
    </row>
    <row r="24" spans="1:5">
      <c r="A24" s="3" t="str">
        <f>DEC2HEX(mem_dec!A24)</f>
        <v>B7</v>
      </c>
      <c r="B24" s="4" t="str">
        <f>DEC2HEX(mem_dec!B24)</f>
        <v>74</v>
      </c>
      <c r="C24" s="3" t="str">
        <f>DEC2HEX(mem_dec!C24)</f>
        <v>CB</v>
      </c>
      <c r="D24" s="4" t="str">
        <f>DEC2HEX(mem_dec!D24)</f>
        <v>4A</v>
      </c>
      <c r="E24" s="27"/>
    </row>
    <row r="25" spans="1:5">
      <c r="A25" s="5" t="str">
        <f>DEC2HEX(mem_dec!A25)</f>
        <v>BD</v>
      </c>
      <c r="B25" s="6" t="str">
        <f>DEC2HEX(mem_dec!B25)</f>
        <v>20</v>
      </c>
      <c r="C25" s="5" t="str">
        <f>DEC2HEX(mem_dec!C25)</f>
        <v>64</v>
      </c>
      <c r="D25" s="6" t="str">
        <f>DEC2HEX(mem_dec!D25)</f>
        <v>D3</v>
      </c>
      <c r="E25" s="27"/>
    </row>
    <row r="26" spans="1:5">
      <c r="A26" s="2" t="str">
        <f>DEC2HEX(mem_dec!A26)</f>
        <v>14</v>
      </c>
      <c r="B26" s="1" t="str">
        <f>DEC2HEX(mem_dec!B26)</f>
        <v>43</v>
      </c>
      <c r="C26" s="2" t="str">
        <f>DEC2HEX(mem_dec!C26)</f>
        <v>15</v>
      </c>
      <c r="D26" s="1" t="str">
        <f>DEC2HEX(mem_dec!D26)</f>
        <v>A1</v>
      </c>
      <c r="E26" s="27"/>
    </row>
    <row r="27" spans="1:5">
      <c r="A27" s="4" t="str">
        <f>DEC2HEX(mem_dec!A27)</f>
        <v>D6</v>
      </c>
      <c r="B27" s="3" t="str">
        <f>DEC2HEX(mem_dec!B27)</f>
        <v>98</v>
      </c>
      <c r="C27" s="4" t="str">
        <f>DEC2HEX(mem_dec!C27)</f>
        <v>D5</v>
      </c>
      <c r="D27" s="3" t="str">
        <f>DEC2HEX(mem_dec!D27)</f>
        <v>2</v>
      </c>
      <c r="E27" s="27"/>
    </row>
    <row r="28" spans="1:5">
      <c r="A28" s="4" t="str">
        <f>DEC2HEX(mem_dec!A28)</f>
        <v>C4</v>
      </c>
      <c r="B28" s="3" t="str">
        <f>DEC2HEX(mem_dec!B28)</f>
        <v>9A</v>
      </c>
      <c r="C28" s="4" t="str">
        <f>DEC2HEX(mem_dec!C28)</f>
        <v>5D</v>
      </c>
      <c r="D28" s="3" t="str">
        <f>DEC2HEX(mem_dec!D28)</f>
        <v>8B</v>
      </c>
      <c r="E28" s="27"/>
    </row>
    <row r="29" spans="1:5">
      <c r="A29" s="4" t="str">
        <f>DEC2HEX(mem_dec!A29)</f>
        <v>C3</v>
      </c>
      <c r="B29" s="3" t="str">
        <f>DEC2HEX(mem_dec!B29)</f>
        <v>AB</v>
      </c>
      <c r="C29" s="4" t="str">
        <f>DEC2HEX(mem_dec!C29)</f>
        <v>B</v>
      </c>
      <c r="D29" s="3" t="str">
        <f>DEC2HEX(mem_dec!D29)</f>
        <v>93</v>
      </c>
      <c r="E29" s="27"/>
    </row>
    <row r="30" spans="1:5">
      <c r="A30" s="6" t="str">
        <f>DEC2HEX(mem_dec!A30)</f>
        <v>DB</v>
      </c>
      <c r="B30" s="5" t="str">
        <f>DEC2HEX(mem_dec!B30)</f>
        <v>E3</v>
      </c>
      <c r="C30" s="6" t="str">
        <f>DEC2HEX(mem_dec!C30)</f>
        <v>48</v>
      </c>
      <c r="D30" s="5" t="str">
        <f>DEC2HEX(mem_dec!D30)</f>
        <v>39</v>
      </c>
      <c r="E30" s="27"/>
    </row>
    <row r="31" spans="1:5">
      <c r="A31" s="1" t="str">
        <f>DEC2HEX(mem_dec!A31)</f>
        <v>28</v>
      </c>
      <c r="B31" s="2" t="str">
        <f>DEC2HEX(mem_dec!B31)</f>
        <v>20</v>
      </c>
      <c r="C31" s="1" t="str">
        <f>DEC2HEX(mem_dec!C31)</f>
        <v>9F</v>
      </c>
      <c r="D31" s="2" t="str">
        <f>DEC2HEX(mem_dec!D31)</f>
        <v>41</v>
      </c>
      <c r="E31" s="27"/>
    </row>
    <row r="32" spans="1:5">
      <c r="A32" s="3" t="str">
        <f>DEC2HEX(mem_dec!A32)</f>
        <v>6F</v>
      </c>
      <c r="B32" s="4" t="str">
        <f>DEC2HEX(mem_dec!B32)</f>
        <v>EE</v>
      </c>
      <c r="C32" s="3" t="str">
        <f>DEC2HEX(mem_dec!C32)</f>
        <v>4C</v>
      </c>
      <c r="D32" s="4" t="str">
        <f>DEC2HEX(mem_dec!D32)</f>
        <v>C8</v>
      </c>
      <c r="E32" s="27"/>
    </row>
    <row r="33" spans="1:5">
      <c r="A33" s="3" t="str">
        <f>DEC2HEX(mem_dec!A33)</f>
        <v>28</v>
      </c>
      <c r="B33" s="4" t="str">
        <f>DEC2HEX(mem_dec!B33)</f>
        <v>DF</v>
      </c>
      <c r="C33" s="3" t="str">
        <f>DEC2HEX(mem_dec!C33)</f>
        <v>61</v>
      </c>
      <c r="D33" s="4" t="str">
        <f>DEC2HEX(mem_dec!D33)</f>
        <v>6A</v>
      </c>
      <c r="E33" s="27"/>
    </row>
    <row r="34" spans="1:5">
      <c r="A34" s="3" t="str">
        <f>DEC2HEX(mem_dec!A34)</f>
        <v>3</v>
      </c>
      <c r="B34" s="4" t="str">
        <f>DEC2HEX(mem_dec!B34)</f>
        <v>EB</v>
      </c>
      <c r="C34" s="3" t="str">
        <f>DEC2HEX(mem_dec!C34)</f>
        <v>2C</v>
      </c>
      <c r="D34" s="4" t="str">
        <f>DEC2HEX(mem_dec!D34)</f>
        <v>93</v>
      </c>
      <c r="E34" s="27"/>
    </row>
    <row r="35" spans="1:5">
      <c r="A35" s="5" t="str">
        <f>DEC2HEX(mem_dec!A35)</f>
        <v>7D</v>
      </c>
      <c r="B35" s="6" t="str">
        <f>DEC2HEX(mem_dec!B35)</f>
        <v>A8</v>
      </c>
      <c r="C35" s="5" t="str">
        <f>DEC2HEX(mem_dec!C35)</f>
        <v>84</v>
      </c>
      <c r="D35" s="6" t="str">
        <f>DEC2HEX(mem_dec!D35)</f>
        <v>DB</v>
      </c>
      <c r="E35" s="27"/>
    </row>
    <row r="36" spans="1:5">
      <c r="A36" s="2" t="str">
        <f>DEC2HEX(mem_dec!A36)</f>
        <v>8C</v>
      </c>
      <c r="B36" s="1" t="str">
        <f>DEC2HEX(mem_dec!B36)</f>
        <v>BA</v>
      </c>
      <c r="C36" s="2" t="str">
        <f>DEC2HEX(mem_dec!C36)</f>
        <v>26</v>
      </c>
      <c r="D36" s="1" t="str">
        <f>DEC2HEX(mem_dec!D36)</f>
        <v>C0</v>
      </c>
      <c r="E36" s="27"/>
    </row>
    <row r="37" spans="1:5">
      <c r="A37" s="4" t="str">
        <f>DEC2HEX(mem_dec!A37)</f>
        <v>37</v>
      </c>
      <c r="B37" s="3" t="str">
        <f>DEC2HEX(mem_dec!B37)</f>
        <v>3A</v>
      </c>
      <c r="C37" s="4" t="str">
        <f>DEC2HEX(mem_dec!C37)</f>
        <v>D8</v>
      </c>
      <c r="D37" s="3" t="str">
        <f>DEC2HEX(mem_dec!D37)</f>
        <v>3</v>
      </c>
      <c r="E37" s="27"/>
    </row>
    <row r="38" spans="1:5">
      <c r="A38" s="4" t="str">
        <f>DEC2HEX(mem_dec!A38)</f>
        <v>D9</v>
      </c>
      <c r="B38" s="3" t="str">
        <f>DEC2HEX(mem_dec!B38)</f>
        <v>F2</v>
      </c>
      <c r="C38" s="4" t="str">
        <f>DEC2HEX(mem_dec!C38)</f>
        <v>65</v>
      </c>
      <c r="D38" s="3" t="str">
        <f>DEC2HEX(mem_dec!D38)</f>
        <v>9F</v>
      </c>
      <c r="E38" s="27"/>
    </row>
    <row r="39" spans="1:5">
      <c r="A39" s="4" t="str">
        <f>DEC2HEX(mem_dec!A39)</f>
        <v>83</v>
      </c>
      <c r="B39" s="3" t="str">
        <f>DEC2HEX(mem_dec!B39)</f>
        <v>9E</v>
      </c>
      <c r="C39" s="4" t="str">
        <f>DEC2HEX(mem_dec!C39)</f>
        <v>7E</v>
      </c>
      <c r="D39" s="3" t="str">
        <f>DEC2HEX(mem_dec!D39)</f>
        <v>BD</v>
      </c>
      <c r="E39" s="27"/>
    </row>
    <row r="40" spans="1:5">
      <c r="A40" s="6" t="str">
        <f>DEC2HEX(mem_dec!A40)</f>
        <v>C1</v>
      </c>
      <c r="B40" s="5" t="str">
        <f>DEC2HEX(mem_dec!B40)</f>
        <v>FA</v>
      </c>
      <c r="C40" s="6" t="str">
        <f>DEC2HEX(mem_dec!C40)</f>
        <v>B6</v>
      </c>
      <c r="D40" s="5" t="str">
        <f>DEC2HEX(mem_dec!D40)</f>
        <v>DE</v>
      </c>
      <c r="E40" s="27"/>
    </row>
    <row r="41" spans="1:5">
      <c r="A41" s="7" t="str">
        <f>DEC2HEX(mem_dec!A41)</f>
        <v>B5</v>
      </c>
      <c r="B41" s="8" t="str">
        <f>DEC2HEX(mem_dec!B41)</f>
        <v>D3</v>
      </c>
      <c r="C41" s="7" t="str">
        <f>DEC2HEX(mem_dec!C41)</f>
        <v>FC</v>
      </c>
      <c r="D41" s="8" t="str">
        <f>DEC2HEX(mem_dec!D41)</f>
        <v>AE</v>
      </c>
      <c r="E41" s="27" t="s">
        <v>2</v>
      </c>
    </row>
    <row r="42" spans="1:5">
      <c r="A42" s="9" t="str">
        <f>DEC2HEX(mem_dec!A42)</f>
        <v>1F</v>
      </c>
      <c r="B42" s="10" t="str">
        <f>DEC2HEX(mem_dec!B42)</f>
        <v>91</v>
      </c>
      <c r="C42" s="9" t="str">
        <f>DEC2HEX(mem_dec!C42)</f>
        <v>DB</v>
      </c>
      <c r="D42" s="10" t="str">
        <f>DEC2HEX(mem_dec!D42)</f>
        <v>67</v>
      </c>
      <c r="E42" s="27"/>
    </row>
    <row r="43" spans="1:5">
      <c r="A43" s="9" t="str">
        <f>DEC2HEX(mem_dec!A43)</f>
        <v>B4</v>
      </c>
      <c r="B43" s="10" t="str">
        <f>DEC2HEX(mem_dec!B43)</f>
        <v>28</v>
      </c>
      <c r="C43" s="9" t="str">
        <f>DEC2HEX(mem_dec!C43)</f>
        <v>F7</v>
      </c>
      <c r="D43" s="10" t="str">
        <f>DEC2HEX(mem_dec!D43)</f>
        <v>8A</v>
      </c>
      <c r="E43" s="27"/>
    </row>
    <row r="44" spans="1:5">
      <c r="A44" s="9" t="str">
        <f>DEC2HEX(mem_dec!A44)</f>
        <v>47</v>
      </c>
      <c r="B44" s="10" t="str">
        <f>DEC2HEX(mem_dec!B44)</f>
        <v>29</v>
      </c>
      <c r="C44" s="9" t="str">
        <f>DEC2HEX(mem_dec!C44)</f>
        <v>86</v>
      </c>
      <c r="D44" s="10" t="str">
        <f>DEC2HEX(mem_dec!D44)</f>
        <v>74</v>
      </c>
      <c r="E44" s="27"/>
    </row>
    <row r="45" spans="1:5">
      <c r="A45" s="11" t="str">
        <f>DEC2HEX(mem_dec!A45)</f>
        <v>CB</v>
      </c>
      <c r="B45" s="12" t="str">
        <f>DEC2HEX(mem_dec!B45)</f>
        <v>A2</v>
      </c>
      <c r="C45" s="11" t="str">
        <f>DEC2HEX(mem_dec!C45)</f>
        <v>8B</v>
      </c>
      <c r="D45" s="12" t="str">
        <f>DEC2HEX(mem_dec!D45)</f>
        <v>C</v>
      </c>
      <c r="E45" s="27"/>
    </row>
    <row r="46" spans="1:5">
      <c r="A46" s="8" t="str">
        <f>DEC2HEX(mem_dec!A46)</f>
        <v>EE</v>
      </c>
      <c r="B46" s="7" t="str">
        <f>DEC2HEX(mem_dec!B46)</f>
        <v>A8</v>
      </c>
      <c r="C46" s="8" t="str">
        <f>DEC2HEX(mem_dec!C46)</f>
        <v>89</v>
      </c>
      <c r="D46" s="7" t="str">
        <f>DEC2HEX(mem_dec!D46)</f>
        <v>F3</v>
      </c>
      <c r="E46" s="27"/>
    </row>
    <row r="47" spans="1:5">
      <c r="A47" s="10" t="str">
        <f>DEC2HEX(mem_dec!A47)</f>
        <v>67</v>
      </c>
      <c r="B47" s="9" t="str">
        <f>DEC2HEX(mem_dec!B47)</f>
        <v>A0</v>
      </c>
      <c r="C47" s="10" t="str">
        <f>DEC2HEX(mem_dec!C47)</f>
        <v>23</v>
      </c>
      <c r="D47" s="9" t="str">
        <f>DEC2HEX(mem_dec!D47)</f>
        <v>E6</v>
      </c>
      <c r="E47" s="27"/>
    </row>
    <row r="48" spans="1:5">
      <c r="A48" s="10" t="str">
        <f>DEC2HEX(mem_dec!A48)</f>
        <v>32</v>
      </c>
      <c r="B48" s="9" t="str">
        <f>DEC2HEX(mem_dec!B48)</f>
        <v>59</v>
      </c>
      <c r="C48" s="10" t="str">
        <f>DEC2HEX(mem_dec!C48)</f>
        <v>FD</v>
      </c>
      <c r="D48" s="9" t="str">
        <f>DEC2HEX(mem_dec!D48)</f>
        <v>84</v>
      </c>
      <c r="E48" s="27"/>
    </row>
    <row r="49" spans="1:5">
      <c r="A49" s="10" t="str">
        <f>DEC2HEX(mem_dec!A49)</f>
        <v>3A</v>
      </c>
      <c r="B49" s="9" t="str">
        <f>DEC2HEX(mem_dec!B49)</f>
        <v>3E</v>
      </c>
      <c r="C49" s="10" t="str">
        <f>DEC2HEX(mem_dec!C49)</f>
        <v>22</v>
      </c>
      <c r="D49" s="9" t="str">
        <f>DEC2HEX(mem_dec!D49)</f>
        <v>C5</v>
      </c>
      <c r="E49" s="27"/>
    </row>
    <row r="50" spans="1:5">
      <c r="A50" s="12" t="str">
        <f>DEC2HEX(mem_dec!A50)</f>
        <v>7D</v>
      </c>
      <c r="B50" s="11" t="str">
        <f>DEC2HEX(mem_dec!B50)</f>
        <v>CF</v>
      </c>
      <c r="C50" s="12" t="str">
        <f>DEC2HEX(mem_dec!C50)</f>
        <v>51</v>
      </c>
      <c r="D50" s="11" t="str">
        <f>DEC2HEX(mem_dec!D50)</f>
        <v>ED</v>
      </c>
      <c r="E50" s="27"/>
    </row>
    <row r="51" spans="1:5">
      <c r="A51" s="7" t="str">
        <f>DEC2HEX(mem_dec!A51)</f>
        <v>A4</v>
      </c>
      <c r="B51" s="8" t="str">
        <f>DEC2HEX(mem_dec!B51)</f>
        <v>98</v>
      </c>
      <c r="C51" s="7" t="str">
        <f>DEC2HEX(mem_dec!C51)</f>
        <v>FC</v>
      </c>
      <c r="D51" s="8" t="str">
        <f>DEC2HEX(mem_dec!D51)</f>
        <v>E9</v>
      </c>
      <c r="E51" s="27"/>
    </row>
    <row r="52" spans="1:5">
      <c r="A52" s="9" t="str">
        <f>DEC2HEX(mem_dec!A52)</f>
        <v>A9</v>
      </c>
      <c r="B52" s="10" t="str">
        <f>DEC2HEX(mem_dec!B52)</f>
        <v>62</v>
      </c>
      <c r="C52" s="9" t="str">
        <f>DEC2HEX(mem_dec!C52)</f>
        <v>B8</v>
      </c>
      <c r="D52" s="10" t="str">
        <f>DEC2HEX(mem_dec!D52)</f>
        <v>9</v>
      </c>
      <c r="E52" s="27"/>
    </row>
    <row r="53" spans="1:5">
      <c r="A53" s="9" t="str">
        <f>DEC2HEX(mem_dec!A53)</f>
        <v>6F</v>
      </c>
      <c r="B53" s="10" t="str">
        <f>DEC2HEX(mem_dec!B53)</f>
        <v>3B</v>
      </c>
      <c r="C53" s="9" t="str">
        <f>DEC2HEX(mem_dec!C53)</f>
        <v>A7</v>
      </c>
      <c r="D53" s="10" t="str">
        <f>DEC2HEX(mem_dec!D53)</f>
        <v>89</v>
      </c>
      <c r="E53" s="27"/>
    </row>
    <row r="54" spans="1:5">
      <c r="A54" s="9" t="str">
        <f>DEC2HEX(mem_dec!A54)</f>
        <v>7B</v>
      </c>
      <c r="B54" s="10" t="str">
        <f>DEC2HEX(mem_dec!B54)</f>
        <v>97</v>
      </c>
      <c r="C54" s="9" t="str">
        <f>DEC2HEX(mem_dec!C54)</f>
        <v>8</v>
      </c>
      <c r="D54" s="10" t="str">
        <f>DEC2HEX(mem_dec!D54)</f>
        <v>2E</v>
      </c>
      <c r="E54" s="27"/>
    </row>
    <row r="55" spans="1:5">
      <c r="A55" s="11" t="str">
        <f>DEC2HEX(mem_dec!A55)</f>
        <v>D1</v>
      </c>
      <c r="B55" s="12" t="str">
        <f>DEC2HEX(mem_dec!B55)</f>
        <v>F3</v>
      </c>
      <c r="C55" s="11" t="str">
        <f>DEC2HEX(mem_dec!C55)</f>
        <v>74</v>
      </c>
      <c r="D55" s="12" t="str">
        <f>DEC2HEX(mem_dec!D55)</f>
        <v>C8</v>
      </c>
      <c r="E55" s="27"/>
    </row>
    <row r="56" spans="1:5">
      <c r="A56" s="8" t="str">
        <f>DEC2HEX(mem_dec!A56)</f>
        <v>5C</v>
      </c>
      <c r="B56" s="7" t="str">
        <f>DEC2HEX(mem_dec!B56)</f>
        <v>39</v>
      </c>
      <c r="C56" s="8" t="str">
        <f>DEC2HEX(mem_dec!C56)</f>
        <v>1E</v>
      </c>
      <c r="D56" s="7" t="str">
        <f>DEC2HEX(mem_dec!D56)</f>
        <v>F1</v>
      </c>
      <c r="E56" s="27"/>
    </row>
    <row r="57" spans="1:5">
      <c r="A57" s="10" t="str">
        <f>DEC2HEX(mem_dec!A57)</f>
        <v>B1</v>
      </c>
      <c r="B57" s="9" t="str">
        <f>DEC2HEX(mem_dec!B57)</f>
        <v>3F</v>
      </c>
      <c r="C57" s="10" t="str">
        <f>DEC2HEX(mem_dec!C57)</f>
        <v>ED</v>
      </c>
      <c r="D57" s="9" t="str">
        <f>DEC2HEX(mem_dec!D57)</f>
        <v>BB</v>
      </c>
      <c r="E57" s="27"/>
    </row>
    <row r="58" spans="1:5">
      <c r="A58" s="10" t="str">
        <f>DEC2HEX(mem_dec!A58)</f>
        <v>99</v>
      </c>
      <c r="B58" s="9" t="str">
        <f>DEC2HEX(mem_dec!B58)</f>
        <v>49</v>
      </c>
      <c r="C58" s="10" t="str">
        <f>DEC2HEX(mem_dec!C58)</f>
        <v>2</v>
      </c>
      <c r="D58" s="9" t="str">
        <f>DEC2HEX(mem_dec!D58)</f>
        <v>0</v>
      </c>
      <c r="E58" s="27"/>
    </row>
    <row r="59" spans="1:5">
      <c r="A59" s="10" t="str">
        <f>DEC2HEX(mem_dec!A59)</f>
        <v>63</v>
      </c>
      <c r="B59" s="9" t="str">
        <f>DEC2HEX(mem_dec!B59)</f>
        <v>16</v>
      </c>
      <c r="C59" s="10" t="str">
        <f>DEC2HEX(mem_dec!C59)</f>
        <v>5E</v>
      </c>
      <c r="D59" s="9" t="str">
        <f>DEC2HEX(mem_dec!D59)</f>
        <v>F7</v>
      </c>
      <c r="E59" s="27"/>
    </row>
    <row r="60" spans="1:5">
      <c r="A60" s="12" t="str">
        <f>DEC2HEX(mem_dec!A60)</f>
        <v>60</v>
      </c>
      <c r="B60" s="11" t="str">
        <f>DEC2HEX(mem_dec!B60)</f>
        <v>DB</v>
      </c>
      <c r="C60" s="12" t="str">
        <f>DEC2HEX(mem_dec!C60)</f>
        <v>9B</v>
      </c>
      <c r="D60" s="11" t="str">
        <f>DEC2HEX(mem_dec!D60)</f>
        <v>76</v>
      </c>
      <c r="E60" s="27"/>
    </row>
    <row r="61" spans="1:5">
      <c r="A61" s="7" t="str">
        <f>DEC2HEX(mem_dec!A61)</f>
        <v>F5</v>
      </c>
      <c r="B61" s="8" t="str">
        <f>DEC2HEX(mem_dec!B61)</f>
        <v>CF</v>
      </c>
      <c r="C61" s="7" t="str">
        <f>DEC2HEX(mem_dec!C61)</f>
        <v>AD</v>
      </c>
      <c r="D61" s="8" t="str">
        <f>DEC2HEX(mem_dec!D61)</f>
        <v>1E</v>
      </c>
      <c r="E61" s="27" t="s">
        <v>3</v>
      </c>
    </row>
    <row r="62" spans="1:5">
      <c r="A62" s="9" t="str">
        <f>DEC2HEX(mem_dec!A62)</f>
        <v>84</v>
      </c>
      <c r="B62" s="10" t="str">
        <f>DEC2HEX(mem_dec!B62)</f>
        <v>3F</v>
      </c>
      <c r="C62" s="9" t="str">
        <f>DEC2HEX(mem_dec!C62)</f>
        <v>F6</v>
      </c>
      <c r="D62" s="10" t="str">
        <f>DEC2HEX(mem_dec!D62)</f>
        <v>6C</v>
      </c>
      <c r="E62" s="27"/>
    </row>
    <row r="63" spans="1:5">
      <c r="A63" s="9" t="str">
        <f>DEC2HEX(mem_dec!A63)</f>
        <v>DF</v>
      </c>
      <c r="B63" s="10" t="str">
        <f>DEC2HEX(mem_dec!B63)</f>
        <v>DD</v>
      </c>
      <c r="C63" s="9" t="str">
        <f>DEC2HEX(mem_dec!C63)</f>
        <v>3C</v>
      </c>
      <c r="D63" s="10" t="str">
        <f>DEC2HEX(mem_dec!D63)</f>
        <v>99</v>
      </c>
      <c r="E63" s="27"/>
    </row>
    <row r="64" spans="1:5">
      <c r="A64" s="9" t="str">
        <f>DEC2HEX(mem_dec!A64)</f>
        <v>67</v>
      </c>
      <c r="B64" s="10" t="str">
        <f>DEC2HEX(mem_dec!B64)</f>
        <v>61</v>
      </c>
      <c r="C64" s="9" t="str">
        <f>DEC2HEX(mem_dec!C64)</f>
        <v>41</v>
      </c>
      <c r="D64" s="10" t="str">
        <f>DEC2HEX(mem_dec!D64)</f>
        <v>3</v>
      </c>
      <c r="E64" s="27"/>
    </row>
    <row r="65" spans="1:5">
      <c r="A65" s="11" t="str">
        <f>DEC2HEX(mem_dec!A65)</f>
        <v>33</v>
      </c>
      <c r="B65" s="12" t="str">
        <f>DEC2HEX(mem_dec!B65)</f>
        <v>70</v>
      </c>
      <c r="C65" s="11" t="str">
        <f>DEC2HEX(mem_dec!C65)</f>
        <v>DC</v>
      </c>
      <c r="D65" s="12" t="str">
        <f>DEC2HEX(mem_dec!D65)</f>
        <v>CF</v>
      </c>
      <c r="E65" s="27"/>
    </row>
    <row r="66" spans="1:5">
      <c r="A66" s="8" t="str">
        <f>DEC2HEX(mem_dec!A66)</f>
        <v>5B</v>
      </c>
      <c r="B66" s="7" t="str">
        <f>DEC2HEX(mem_dec!B66)</f>
        <v>B2</v>
      </c>
      <c r="C66" s="8" t="str">
        <f>DEC2HEX(mem_dec!C66)</f>
        <v>91</v>
      </c>
      <c r="D66" s="7" t="str">
        <f>DEC2HEX(mem_dec!D66)</f>
        <v>3C</v>
      </c>
      <c r="E66" s="27"/>
    </row>
    <row r="67" spans="1:5">
      <c r="A67" s="10" t="str">
        <f>DEC2HEX(mem_dec!A67)</f>
        <v>76</v>
      </c>
      <c r="B67" s="9" t="str">
        <f>DEC2HEX(mem_dec!B67)</f>
        <v>27</v>
      </c>
      <c r="C67" s="10" t="str">
        <f>DEC2HEX(mem_dec!C67)</f>
        <v>9B</v>
      </c>
      <c r="D67" s="9" t="str">
        <f>DEC2HEX(mem_dec!D67)</f>
        <v>E5</v>
      </c>
      <c r="E67" s="27"/>
    </row>
    <row r="68" spans="1:5">
      <c r="A68" s="10" t="str">
        <f>DEC2HEX(mem_dec!A68)</f>
        <v>FB</v>
      </c>
      <c r="B68" s="9" t="str">
        <f>DEC2HEX(mem_dec!B68)</f>
        <v>F7</v>
      </c>
      <c r="C68" s="10" t="str">
        <f>DEC2HEX(mem_dec!C68)</f>
        <v>DA</v>
      </c>
      <c r="D68" s="9" t="str">
        <f>DEC2HEX(mem_dec!D68)</f>
        <v>A8</v>
      </c>
      <c r="E68" s="27"/>
    </row>
    <row r="69" spans="1:5">
      <c r="A69" s="10" t="str">
        <f>DEC2HEX(mem_dec!A69)</f>
        <v>21</v>
      </c>
      <c r="B69" s="9" t="str">
        <f>DEC2HEX(mem_dec!B69)</f>
        <v>2E</v>
      </c>
      <c r="C69" s="10" t="str">
        <f>DEC2HEX(mem_dec!C69)</f>
        <v>2</v>
      </c>
      <c r="D69" s="9" t="str">
        <f>DEC2HEX(mem_dec!D69)</f>
        <v>D0</v>
      </c>
      <c r="E69" s="27"/>
    </row>
    <row r="70" spans="1:5">
      <c r="A70" s="12" t="str">
        <f>DEC2HEX(mem_dec!A70)</f>
        <v>FA</v>
      </c>
      <c r="B70" s="11" t="str">
        <f>DEC2HEX(mem_dec!B70)</f>
        <v>BC</v>
      </c>
      <c r="C70" s="12" t="str">
        <f>DEC2HEX(mem_dec!C70)</f>
        <v>82</v>
      </c>
      <c r="D70" s="11" t="str">
        <f>DEC2HEX(mem_dec!D70)</f>
        <v>0</v>
      </c>
      <c r="E70" s="27"/>
    </row>
    <row r="71" spans="1:5">
      <c r="A71" s="7" t="str">
        <f>DEC2HEX(mem_dec!A71)</f>
        <v>64</v>
      </c>
      <c r="B71" s="8" t="str">
        <f>DEC2HEX(mem_dec!B71)</f>
        <v>46</v>
      </c>
      <c r="C71" s="7" t="str">
        <f>DEC2HEX(mem_dec!C71)</f>
        <v>3B</v>
      </c>
      <c r="D71" s="8" t="str">
        <f>DEC2HEX(mem_dec!D71)</f>
        <v>88</v>
      </c>
      <c r="E71" s="27"/>
    </row>
    <row r="72" spans="1:5">
      <c r="A72" s="9" t="str">
        <f>DEC2HEX(mem_dec!A72)</f>
        <v>D2</v>
      </c>
      <c r="B72" s="10" t="str">
        <f>DEC2HEX(mem_dec!B72)</f>
        <v>6E</v>
      </c>
      <c r="C72" s="9" t="str">
        <f>DEC2HEX(mem_dec!C72)</f>
        <v>71</v>
      </c>
      <c r="D72" s="10" t="str">
        <f>DEC2HEX(mem_dec!D72)</f>
        <v>64</v>
      </c>
      <c r="E72" s="27"/>
    </row>
    <row r="73" spans="1:5">
      <c r="A73" s="9" t="str">
        <f>DEC2HEX(mem_dec!A73)</f>
        <v>27</v>
      </c>
      <c r="B73" s="10" t="str">
        <f>DEC2HEX(mem_dec!B73)</f>
        <v>19</v>
      </c>
      <c r="C73" s="9" t="str">
        <f>DEC2HEX(mem_dec!C73)</f>
        <v>66</v>
      </c>
      <c r="D73" s="10" t="str">
        <f>DEC2HEX(mem_dec!D73)</f>
        <v>B8</v>
      </c>
      <c r="E73" s="27"/>
    </row>
    <row r="74" spans="1:5">
      <c r="A74" s="9" t="str">
        <f>DEC2HEX(mem_dec!A74)</f>
        <v>97</v>
      </c>
      <c r="B74" s="10" t="str">
        <f>DEC2HEX(mem_dec!B74)</f>
        <v>C5</v>
      </c>
      <c r="C74" s="9" t="str">
        <f>DEC2HEX(mem_dec!C74)</f>
        <v>FA</v>
      </c>
      <c r="D74" s="10" t="str">
        <f>DEC2HEX(mem_dec!D74)</f>
        <v>C9</v>
      </c>
      <c r="E74" s="27"/>
    </row>
    <row r="75" spans="1:5">
      <c r="A75" s="11" t="str">
        <f>DEC2HEX(mem_dec!A75)</f>
        <v>D9</v>
      </c>
      <c r="B75" s="12" t="str">
        <f>DEC2HEX(mem_dec!B75)</f>
        <v>ED</v>
      </c>
      <c r="C75" s="11" t="str">
        <f>DEC2HEX(mem_dec!C75)</f>
        <v>3C</v>
      </c>
      <c r="D75" s="12" t="str">
        <f>DEC2HEX(mem_dec!D75)</f>
        <v>43</v>
      </c>
      <c r="E75" s="27"/>
    </row>
    <row r="76" spans="1:5">
      <c r="A76" s="8" t="str">
        <f>DEC2HEX(mem_dec!A76)</f>
        <v>F0</v>
      </c>
      <c r="B76" s="7" t="str">
        <f>DEC2HEX(mem_dec!B76)</f>
        <v>71</v>
      </c>
      <c r="C76" s="8" t="str">
        <f>DEC2HEX(mem_dec!C76)</f>
        <v>A</v>
      </c>
      <c r="D76" s="7" t="str">
        <f>DEC2HEX(mem_dec!D76)</f>
        <v>2C</v>
      </c>
      <c r="E76" s="27"/>
    </row>
    <row r="77" spans="1:5">
      <c r="A77" s="10" t="str">
        <f>DEC2HEX(mem_dec!A77)</f>
        <v>A3</v>
      </c>
      <c r="B77" s="9" t="str">
        <f>DEC2HEX(mem_dec!B77)</f>
        <v>46</v>
      </c>
      <c r="C77" s="10" t="str">
        <f>DEC2HEX(mem_dec!C77)</f>
        <v>7D</v>
      </c>
      <c r="D77" s="9" t="str">
        <f>DEC2HEX(mem_dec!D77)</f>
        <v>96</v>
      </c>
      <c r="E77" s="27"/>
    </row>
    <row r="78" spans="1:5">
      <c r="A78" s="10" t="str">
        <f>DEC2HEX(mem_dec!A78)</f>
        <v>AD</v>
      </c>
      <c r="B78" s="9" t="str">
        <f>DEC2HEX(mem_dec!B78)</f>
        <v>C8</v>
      </c>
      <c r="C78" s="10" t="str">
        <f>DEC2HEX(mem_dec!C78)</f>
        <v>69</v>
      </c>
      <c r="D78" s="9" t="str">
        <f>DEC2HEX(mem_dec!D78)</f>
        <v>22</v>
      </c>
      <c r="E78" s="27"/>
    </row>
    <row r="79" spans="1:5">
      <c r="A79" s="10" t="str">
        <f>DEC2HEX(mem_dec!A79)</f>
        <v>D7</v>
      </c>
      <c r="B79" s="9" t="str">
        <f>DEC2HEX(mem_dec!B79)</f>
        <v>3B</v>
      </c>
      <c r="C79" s="10" t="str">
        <f>DEC2HEX(mem_dec!C79)</f>
        <v>B6</v>
      </c>
      <c r="D79" s="9" t="str">
        <f>DEC2HEX(mem_dec!D79)</f>
        <v>F9</v>
      </c>
      <c r="E79" s="27"/>
    </row>
    <row r="80" spans="1:5">
      <c r="A80" s="12" t="str">
        <f>DEC2HEX(mem_dec!A80)</f>
        <v>12</v>
      </c>
      <c r="B80" s="11" t="str">
        <f>DEC2HEX(mem_dec!B80)</f>
        <v>51</v>
      </c>
      <c r="C80" s="12" t="str">
        <f>DEC2HEX(mem_dec!C80)</f>
        <v>DA</v>
      </c>
      <c r="D80" s="11" t="str">
        <f>DEC2HEX(mem_dec!D80)</f>
        <v>8D</v>
      </c>
      <c r="E80" s="27"/>
    </row>
    <row r="81" spans="1:4">
      <c r="A81" s="13" t="str">
        <f>DEC2HEX(mem_dec!A81)</f>
        <v>F9</v>
      </c>
      <c r="B81" s="14" t="str">
        <f>DEC2HEX(mem_dec!B81)</f>
        <v>A1</v>
      </c>
      <c r="C81" s="13" t="str">
        <f>DEC2HEX(mem_dec!C81)</f>
        <v>1E</v>
      </c>
      <c r="D81" s="14" t="str">
        <f>DEC2HEX(mem_dec!D81)</f>
        <v>D8</v>
      </c>
    </row>
    <row r="82" spans="1:4">
      <c r="A82" s="15" t="str">
        <f>DEC2HEX(mem_dec!A82)</f>
        <v>3D</v>
      </c>
      <c r="B82" s="16" t="str">
        <f>DEC2HEX(mem_dec!B82)</f>
        <v>84</v>
      </c>
      <c r="C82" s="15" t="str">
        <f>DEC2HEX(mem_dec!C82)</f>
        <v>65</v>
      </c>
      <c r="D82" s="16" t="str">
        <f>DEC2HEX(mem_dec!D82)</f>
        <v>82</v>
      </c>
    </row>
    <row r="83" spans="1:4">
      <c r="A83" s="15" t="str">
        <f>DEC2HEX(mem_dec!A83)</f>
        <v>4E</v>
      </c>
      <c r="B83" s="16" t="str">
        <f>DEC2HEX(mem_dec!B83)</f>
        <v>37</v>
      </c>
      <c r="C83" s="15" t="str">
        <f>DEC2HEX(mem_dec!C83)</f>
        <v>DD</v>
      </c>
      <c r="D83" s="16" t="str">
        <f>DEC2HEX(mem_dec!D83)</f>
        <v>48</v>
      </c>
    </row>
    <row r="84" spans="1:4">
      <c r="A84" s="15" t="str">
        <f>DEC2HEX(mem_dec!A84)</f>
        <v>89</v>
      </c>
      <c r="B84" s="16" t="str">
        <f>DEC2HEX(mem_dec!B84)</f>
        <v>9C</v>
      </c>
      <c r="C84" s="15" t="str">
        <f>DEC2HEX(mem_dec!C84)</f>
        <v>97</v>
      </c>
      <c r="D84" s="16" t="str">
        <f>DEC2HEX(mem_dec!D84)</f>
        <v>5A</v>
      </c>
    </row>
    <row r="85" spans="1:4">
      <c r="A85" s="15" t="str">
        <f>DEC2HEX(mem_dec!A85)</f>
        <v>C7</v>
      </c>
      <c r="B85" s="16" t="str">
        <f>DEC2HEX(mem_dec!B85)</f>
        <v>E5</v>
      </c>
      <c r="C85" s="15" t="str">
        <f>DEC2HEX(mem_dec!C85)</f>
        <v>88</v>
      </c>
      <c r="D85" s="16" t="str">
        <f>DEC2HEX(mem_dec!D85)</f>
        <v>77</v>
      </c>
    </row>
    <row r="86" spans="1:4">
      <c r="A86" s="15" t="str">
        <f>DEC2HEX(mem_dec!A86)</f>
        <v>75</v>
      </c>
      <c r="B86" s="16" t="str">
        <f>DEC2HEX(mem_dec!B86)</f>
        <v>67</v>
      </c>
      <c r="C86" s="15" t="str">
        <f>DEC2HEX(mem_dec!C86)</f>
        <v>90</v>
      </c>
      <c r="D86" s="16" t="str">
        <f>DEC2HEX(mem_dec!D86)</f>
        <v>13</v>
      </c>
    </row>
    <row r="87" spans="1:4">
      <c r="A87" s="15" t="str">
        <f>DEC2HEX(mem_dec!A87)</f>
        <v>93</v>
      </c>
      <c r="B87" s="16" t="str">
        <f>DEC2HEX(mem_dec!B87)</f>
        <v>33</v>
      </c>
      <c r="C87" s="15" t="str">
        <f>DEC2HEX(mem_dec!C87)</f>
        <v>82</v>
      </c>
      <c r="D87" s="16" t="str">
        <f>DEC2HEX(mem_dec!D87)</f>
        <v>2C</v>
      </c>
    </row>
    <row r="88" spans="1:4">
      <c r="A88" s="15" t="str">
        <f>DEC2HEX(mem_dec!A88)</f>
        <v>8B</v>
      </c>
      <c r="B88" s="16" t="str">
        <f>DEC2HEX(mem_dec!B88)</f>
        <v>25</v>
      </c>
      <c r="C88" s="15" t="str">
        <f>DEC2HEX(mem_dec!C88)</f>
        <v>3C</v>
      </c>
      <c r="D88" s="16" t="str">
        <f>DEC2HEX(mem_dec!D88)</f>
        <v>D5</v>
      </c>
    </row>
    <row r="89" spans="1:4">
      <c r="A89" s="14" t="str">
        <f>DEC2HEX(mem_dec!A89)</f>
        <v>D6</v>
      </c>
      <c r="B89" s="13" t="str">
        <f>DEC2HEX(mem_dec!B89)</f>
        <v>FF</v>
      </c>
      <c r="C89" s="14" t="str">
        <f>DEC2HEX(mem_dec!C89)</f>
        <v>2B</v>
      </c>
      <c r="D89" s="13" t="str">
        <f>DEC2HEX(mem_dec!D89)</f>
        <v>E6</v>
      </c>
    </row>
    <row r="90" spans="1:4">
      <c r="A90" s="16" t="str">
        <f>DEC2HEX(mem_dec!A90)</f>
        <v>29</v>
      </c>
      <c r="B90" s="15" t="str">
        <f>DEC2HEX(mem_dec!B90)</f>
        <v>DC</v>
      </c>
      <c r="C90" s="16" t="str">
        <f>DEC2HEX(mem_dec!C90)</f>
        <v>9C</v>
      </c>
      <c r="D90" s="15" t="str">
        <f>DEC2HEX(mem_dec!D90)</f>
        <v>13</v>
      </c>
    </row>
    <row r="91" spans="1:4">
      <c r="A91" s="16" t="str">
        <f>DEC2HEX(mem_dec!A91)</f>
        <v>EF</v>
      </c>
      <c r="B91" s="15" t="str">
        <f>DEC2HEX(mem_dec!B91)</f>
        <v>4F</v>
      </c>
      <c r="C91" s="16" t="str">
        <f>DEC2HEX(mem_dec!C91)</f>
        <v>C4</v>
      </c>
      <c r="D91" s="15" t="str">
        <f>DEC2HEX(mem_dec!D91)</f>
        <v>5B</v>
      </c>
    </row>
    <row r="92" spans="1:4">
      <c r="A92" s="16" t="str">
        <f>DEC2HEX(mem_dec!A92)</f>
        <v>71</v>
      </c>
      <c r="B92" s="15" t="str">
        <f>DEC2HEX(mem_dec!B92)</f>
        <v>DC</v>
      </c>
      <c r="C92" s="16" t="str">
        <f>DEC2HEX(mem_dec!C92)</f>
        <v>B8</v>
      </c>
      <c r="D92" s="15" t="str">
        <f>DEC2HEX(mem_dec!D92)</f>
        <v>85</v>
      </c>
    </row>
    <row r="93" spans="1:4">
      <c r="A93" s="16" t="str">
        <f>DEC2HEX(mem_dec!A93)</f>
        <v>D4</v>
      </c>
      <c r="B93" s="15" t="str">
        <f>DEC2HEX(mem_dec!B93)</f>
        <v>11</v>
      </c>
      <c r="C93" s="16" t="str">
        <f>DEC2HEX(mem_dec!C93)</f>
        <v>8A</v>
      </c>
      <c r="D93" s="15" t="str">
        <f>DEC2HEX(mem_dec!D93)</f>
        <v>70</v>
      </c>
    </row>
    <row r="94" spans="1:4">
      <c r="A94" s="16" t="str">
        <f>DEC2HEX(mem_dec!A94)</f>
        <v>AB</v>
      </c>
      <c r="B94" s="15" t="str">
        <f>DEC2HEX(mem_dec!B94)</f>
        <v>12</v>
      </c>
      <c r="C94" s="16" t="str">
        <f>DEC2HEX(mem_dec!C94)</f>
        <v>6</v>
      </c>
      <c r="D94" s="15" t="str">
        <f>DEC2HEX(mem_dec!D94)</f>
        <v>8C</v>
      </c>
    </row>
    <row r="95" spans="1:4">
      <c r="A95" s="16" t="str">
        <f>DEC2HEX(mem_dec!A95)</f>
        <v>FA</v>
      </c>
      <c r="B95" s="15" t="str">
        <f>DEC2HEX(mem_dec!B95)</f>
        <v>1C</v>
      </c>
      <c r="C95" s="16" t="str">
        <f>DEC2HEX(mem_dec!C95)</f>
        <v>FA</v>
      </c>
      <c r="D95" s="15" t="str">
        <f>DEC2HEX(mem_dec!D95)</f>
        <v>E6</v>
      </c>
    </row>
    <row r="96" spans="1:4">
      <c r="A96" s="16" t="str">
        <f>DEC2HEX(mem_dec!A96)</f>
        <v>6D</v>
      </c>
      <c r="B96" s="15" t="str">
        <f>DEC2HEX(mem_dec!B96)</f>
        <v>8C</v>
      </c>
      <c r="C96" s="16" t="str">
        <f>DEC2HEX(mem_dec!C96)</f>
        <v>5C</v>
      </c>
      <c r="D96" s="15" t="str">
        <f>DEC2HEX(mem_dec!D96)</f>
        <v>5F</v>
      </c>
    </row>
    <row r="97" spans="1:4">
      <c r="A97" s="13" t="str">
        <f>DEC2HEX(mem_dec!A97)</f>
        <v>F7</v>
      </c>
      <c r="B97" s="14" t="str">
        <f>DEC2HEX(mem_dec!B97)</f>
        <v>A4</v>
      </c>
      <c r="C97" s="13" t="str">
        <f>DEC2HEX(mem_dec!C97)</f>
        <v>27</v>
      </c>
      <c r="D97" s="14" t="str">
        <f>DEC2HEX(mem_dec!D97)</f>
        <v>D5</v>
      </c>
    </row>
    <row r="98" spans="1:4">
      <c r="A98" s="15" t="str">
        <f>DEC2HEX(mem_dec!A98)</f>
        <v>10</v>
      </c>
      <c r="B98" s="16" t="str">
        <f>DEC2HEX(mem_dec!B98)</f>
        <v>F1</v>
      </c>
      <c r="C98" s="15" t="str">
        <f>DEC2HEX(mem_dec!C98)</f>
        <v>83</v>
      </c>
      <c r="D98" s="16" t="str">
        <f>DEC2HEX(mem_dec!D98)</f>
        <v>56</v>
      </c>
    </row>
    <row r="99" spans="1:4">
      <c r="A99" s="15" t="str">
        <f>DEC2HEX(mem_dec!A99)</f>
        <v>BA</v>
      </c>
      <c r="B99" s="16" t="str">
        <f>DEC2HEX(mem_dec!B99)</f>
        <v>EE</v>
      </c>
      <c r="C99" s="15" t="str">
        <f>DEC2HEX(mem_dec!C99)</f>
        <v>1</v>
      </c>
      <c r="D99" s="16" t="str">
        <f>DEC2HEX(mem_dec!D99)</f>
        <v>D0</v>
      </c>
    </row>
    <row r="100" spans="1:4">
      <c r="A100" s="15" t="str">
        <f>DEC2HEX(mem_dec!A100)</f>
        <v>BF</v>
      </c>
      <c r="B100" s="16" t="str">
        <f>DEC2HEX(mem_dec!B100)</f>
        <v>57</v>
      </c>
      <c r="C100" s="15" t="str">
        <f>DEC2HEX(mem_dec!C100)</f>
        <v>F8</v>
      </c>
      <c r="D100" s="16" t="str">
        <f>DEC2HEX(mem_dec!D100)</f>
        <v>23</v>
      </c>
    </row>
    <row r="101" spans="1:4">
      <c r="A101" s="15" t="str">
        <f>DEC2HEX(mem_dec!A101)</f>
        <v>A8</v>
      </c>
      <c r="B101" s="16" t="str">
        <f>DEC2HEX(mem_dec!B101)</f>
        <v>15</v>
      </c>
      <c r="C101" s="15" t="str">
        <f>DEC2HEX(mem_dec!C101)</f>
        <v>5E</v>
      </c>
      <c r="D101" s="16" t="str">
        <f>DEC2HEX(mem_dec!D101)</f>
        <v>B2</v>
      </c>
    </row>
    <row r="102" spans="1:4">
      <c r="A102" s="15" t="str">
        <f>DEC2HEX(mem_dec!A102)</f>
        <v>7A</v>
      </c>
      <c r="B102" s="16" t="str">
        <f>DEC2HEX(mem_dec!B102)</f>
        <v>90</v>
      </c>
      <c r="C102" s="15" t="str">
        <f>DEC2HEX(mem_dec!C102)</f>
        <v>DA</v>
      </c>
      <c r="D102" s="16" t="str">
        <f>DEC2HEX(mem_dec!D102)</f>
        <v>A4</v>
      </c>
    </row>
    <row r="103" spans="1:4">
      <c r="A103" s="15" t="str">
        <f>DEC2HEX(mem_dec!A103)</f>
        <v>F9</v>
      </c>
      <c r="B103" s="16" t="str">
        <f>DEC2HEX(mem_dec!B103)</f>
        <v>1F</v>
      </c>
      <c r="C103" s="15" t="str">
        <f>DEC2HEX(mem_dec!C103)</f>
        <v>18</v>
      </c>
      <c r="D103" s="16" t="str">
        <f>DEC2HEX(mem_dec!D103)</f>
        <v>5</v>
      </c>
    </row>
    <row r="104" spans="1:4">
      <c r="A104" s="15" t="str">
        <f>DEC2HEX(mem_dec!A104)</f>
        <v>D7</v>
      </c>
      <c r="B104" s="16" t="str">
        <f>DEC2HEX(mem_dec!B104)</f>
        <v>23</v>
      </c>
      <c r="C104" s="15" t="str">
        <f>DEC2HEX(mem_dec!C104)</f>
        <v>39</v>
      </c>
      <c r="D104" s="16" t="str">
        <f>DEC2HEX(mem_dec!D104)</f>
        <v>E9</v>
      </c>
    </row>
    <row r="105" spans="1:4">
      <c r="A105" s="14" t="str">
        <f>DEC2HEX(mem_dec!A105)</f>
        <v>D</v>
      </c>
      <c r="B105" s="13" t="str">
        <f>DEC2HEX(mem_dec!B105)</f>
        <v>9C</v>
      </c>
      <c r="C105" s="14" t="str">
        <f>DEC2HEX(mem_dec!C105)</f>
        <v>FD</v>
      </c>
      <c r="D105" s="13" t="str">
        <f>DEC2HEX(mem_dec!D105)</f>
        <v>A8</v>
      </c>
    </row>
    <row r="106" spans="1:4">
      <c r="A106" s="16" t="str">
        <f>DEC2HEX(mem_dec!A106)</f>
        <v>5A</v>
      </c>
      <c r="B106" s="15" t="str">
        <f>DEC2HEX(mem_dec!B106)</f>
        <v>EF</v>
      </c>
      <c r="C106" s="16" t="str">
        <f>DEC2HEX(mem_dec!C106)</f>
        <v>4A</v>
      </c>
      <c r="D106" s="15" t="str">
        <f>DEC2HEX(mem_dec!D106)</f>
        <v>D6</v>
      </c>
    </row>
    <row r="107" spans="1:4">
      <c r="A107" s="16" t="str">
        <f>DEC2HEX(mem_dec!A107)</f>
        <v>6E</v>
      </c>
      <c r="B107" s="15" t="str">
        <f>DEC2HEX(mem_dec!B107)</f>
        <v>69</v>
      </c>
      <c r="C107" s="16" t="str">
        <f>DEC2HEX(mem_dec!C107)</f>
        <v>82</v>
      </c>
      <c r="D107" s="15" t="str">
        <f>DEC2HEX(mem_dec!D107)</f>
        <v>89</v>
      </c>
    </row>
    <row r="108" spans="1:4">
      <c r="A108" s="16" t="str">
        <f>DEC2HEX(mem_dec!A108)</f>
        <v>4C</v>
      </c>
      <c r="B108" s="15" t="str">
        <f>DEC2HEX(mem_dec!B108)</f>
        <v>ED</v>
      </c>
      <c r="C108" s="16" t="str">
        <f>DEC2HEX(mem_dec!C108)</f>
        <v>D6</v>
      </c>
      <c r="D108" s="15" t="str">
        <f>DEC2HEX(mem_dec!D108)</f>
        <v>5F</v>
      </c>
    </row>
    <row r="109" spans="1:4">
      <c r="A109" s="16" t="str">
        <f>DEC2HEX(mem_dec!A109)</f>
        <v>F1</v>
      </c>
      <c r="B109" s="15" t="str">
        <f>DEC2HEX(mem_dec!B109)</f>
        <v>21</v>
      </c>
      <c r="C109" s="16" t="str">
        <f>DEC2HEX(mem_dec!C109)</f>
        <v>DA</v>
      </c>
      <c r="D109" s="15" t="str">
        <f>DEC2HEX(mem_dec!D109)</f>
        <v>5E</v>
      </c>
    </row>
    <row r="110" spans="1:4">
      <c r="A110" s="16" t="str">
        <f>DEC2HEX(mem_dec!A110)</f>
        <v>5D</v>
      </c>
      <c r="B110" s="15" t="str">
        <f>DEC2HEX(mem_dec!B110)</f>
        <v>84</v>
      </c>
      <c r="C110" s="16" t="str">
        <f>DEC2HEX(mem_dec!C110)</f>
        <v>7</v>
      </c>
      <c r="D110" s="15" t="str">
        <f>DEC2HEX(mem_dec!D110)</f>
        <v>9A</v>
      </c>
    </row>
    <row r="111" spans="1:4">
      <c r="A111" s="16" t="str">
        <f>DEC2HEX(mem_dec!A111)</f>
        <v>50</v>
      </c>
      <c r="B111" s="15" t="str">
        <f>DEC2HEX(mem_dec!B111)</f>
        <v>87</v>
      </c>
      <c r="C111" s="16" t="str">
        <f>DEC2HEX(mem_dec!C111)</f>
        <v>4F</v>
      </c>
      <c r="D111" s="15" t="str">
        <f>DEC2HEX(mem_dec!D111)</f>
        <v>73</v>
      </c>
    </row>
    <row r="112" spans="1:4">
      <c r="A112" s="16" t="str">
        <f>DEC2HEX(mem_dec!A112)</f>
        <v>5C</v>
      </c>
      <c r="B112" s="15" t="str">
        <f>DEC2HEX(mem_dec!B112)</f>
        <v>20</v>
      </c>
      <c r="C112" s="16" t="str">
        <f>DEC2HEX(mem_dec!C112)</f>
        <v>74</v>
      </c>
      <c r="D112" s="15" t="str">
        <f>DEC2HEX(mem_dec!D112)</f>
        <v>9A</v>
      </c>
    </row>
    <row r="113" spans="1:4">
      <c r="A113" s="22" t="str">
        <f>DEC2HEX(mem_dec!A113)</f>
        <v>0</v>
      </c>
      <c r="B113" s="22" t="str">
        <f>DEC2HEX(mem_dec!B113)</f>
        <v>0</v>
      </c>
      <c r="C113" s="22" t="str">
        <f>DEC2HEX(mem_dec!C113)</f>
        <v>0</v>
      </c>
      <c r="D113" s="22" t="str">
        <f>DEC2HEX(mem_dec!D113)</f>
        <v>0</v>
      </c>
    </row>
    <row r="114" spans="1:4">
      <c r="A114" s="22" t="str">
        <f>DEC2HEX(mem_dec!A114)</f>
        <v>0</v>
      </c>
      <c r="B114" s="22" t="str">
        <f>DEC2HEX(mem_dec!B114)</f>
        <v>0</v>
      </c>
      <c r="C114" s="22" t="str">
        <f>DEC2HEX(mem_dec!C114)</f>
        <v>0</v>
      </c>
      <c r="D114" s="22" t="str">
        <f>DEC2HEX(mem_dec!D114)</f>
        <v>0</v>
      </c>
    </row>
    <row r="115" spans="1:4">
      <c r="A115" s="22" t="str">
        <f>DEC2HEX(mem_dec!A115)</f>
        <v>0</v>
      </c>
      <c r="B115" s="22" t="str">
        <f>DEC2HEX(mem_dec!B115)</f>
        <v>0</v>
      </c>
      <c r="C115" s="22" t="str">
        <f>DEC2HEX(mem_dec!C115)</f>
        <v>0</v>
      </c>
      <c r="D115" s="22" t="str">
        <f>DEC2HEX(mem_dec!D115)</f>
        <v>0</v>
      </c>
    </row>
    <row r="116" spans="1:4">
      <c r="A116" s="22" t="str">
        <f>DEC2HEX(mem_dec!A116)</f>
        <v>0</v>
      </c>
      <c r="B116" s="22" t="str">
        <f>DEC2HEX(mem_dec!B116)</f>
        <v>0</v>
      </c>
      <c r="C116" s="22" t="str">
        <f>DEC2HEX(mem_dec!C116)</f>
        <v>0</v>
      </c>
      <c r="D116" s="22" t="str">
        <f>DEC2HEX(mem_dec!D116)</f>
        <v>0</v>
      </c>
    </row>
    <row r="117" spans="1:4">
      <c r="A117" s="19" t="str">
        <f>DEC2HEX(mem_dec!A117)</f>
        <v>0</v>
      </c>
      <c r="B117" s="19" t="str">
        <f>DEC2HEX(mem_dec!B117)</f>
        <v>0</v>
      </c>
      <c r="C117" s="19" t="str">
        <f>DEC2HEX(mem_dec!C117)</f>
        <v>0</v>
      </c>
      <c r="D117" s="19" t="str">
        <f>DEC2HEX(mem_dec!D117)</f>
        <v>0</v>
      </c>
    </row>
    <row r="118" spans="1:4">
      <c r="A118" s="19" t="str">
        <f>DEC2HEX(mem_dec!A118)</f>
        <v>0</v>
      </c>
      <c r="B118" s="19" t="str">
        <f>DEC2HEX(mem_dec!B118)</f>
        <v>0</v>
      </c>
      <c r="C118" s="19" t="str">
        <f>DEC2HEX(mem_dec!C118)</f>
        <v>0</v>
      </c>
      <c r="D118" s="19" t="str">
        <f>DEC2HEX(mem_dec!D118)</f>
        <v>0</v>
      </c>
    </row>
    <row r="119" spans="1:4">
      <c r="A119" s="19" t="str">
        <f>DEC2HEX(mem_dec!A119)</f>
        <v>0</v>
      </c>
      <c r="B119" s="19" t="str">
        <f>DEC2HEX(mem_dec!B119)</f>
        <v>0</v>
      </c>
      <c r="C119" s="19" t="str">
        <f>DEC2HEX(mem_dec!C119)</f>
        <v>0</v>
      </c>
      <c r="D119" s="19" t="str">
        <f>DEC2HEX(mem_dec!D119)</f>
        <v>0</v>
      </c>
    </row>
    <row r="120" spans="1:4">
      <c r="A120" s="19" t="str">
        <f>DEC2HEX(mem_dec!A120)</f>
        <v>0</v>
      </c>
      <c r="B120" s="19" t="str">
        <f>DEC2HEX(mem_dec!B120)</f>
        <v>0</v>
      </c>
      <c r="C120" s="19" t="str">
        <f>DEC2HEX(mem_dec!C120)</f>
        <v>0</v>
      </c>
      <c r="D120" s="19" t="str">
        <f>DEC2HEX(mem_dec!D120)</f>
        <v>0</v>
      </c>
    </row>
    <row r="121" spans="1:4">
      <c r="A121" s="19" t="str">
        <f>DEC2HEX(mem_dec!A121)</f>
        <v>0</v>
      </c>
      <c r="B121" s="19" t="str">
        <f>DEC2HEX(mem_dec!B121)</f>
        <v>0</v>
      </c>
      <c r="C121" s="19" t="str">
        <f>DEC2HEX(mem_dec!C121)</f>
        <v>0</v>
      </c>
      <c r="D121" s="19" t="str">
        <f>DEC2HEX(mem_dec!D121)</f>
        <v>0</v>
      </c>
    </row>
    <row r="122" spans="1:4">
      <c r="A122" s="19" t="str">
        <f>DEC2HEX(mem_dec!A122)</f>
        <v>0</v>
      </c>
      <c r="B122" s="19" t="str">
        <f>DEC2HEX(mem_dec!B122)</f>
        <v>0</v>
      </c>
      <c r="C122" s="19" t="str">
        <f>DEC2HEX(mem_dec!C122)</f>
        <v>0</v>
      </c>
      <c r="D122" s="19" t="str">
        <f>DEC2HEX(mem_dec!D122)</f>
        <v>0</v>
      </c>
    </row>
    <row r="123" spans="1:4">
      <c r="A123" s="19" t="str">
        <f>DEC2HEX(mem_dec!A123)</f>
        <v>0</v>
      </c>
      <c r="B123" s="19" t="str">
        <f>DEC2HEX(mem_dec!B123)</f>
        <v>0</v>
      </c>
      <c r="C123" s="19" t="str">
        <f>DEC2HEX(mem_dec!C123)</f>
        <v>0</v>
      </c>
      <c r="D123" s="19" t="str">
        <f>DEC2HEX(mem_dec!D123)</f>
        <v>0</v>
      </c>
    </row>
    <row r="124" spans="1:4">
      <c r="A124" s="19" t="str">
        <f>DEC2HEX(mem_dec!A124)</f>
        <v>0</v>
      </c>
      <c r="B124" s="19" t="str">
        <f>DEC2HEX(mem_dec!B124)</f>
        <v>0</v>
      </c>
      <c r="C124" s="19" t="str">
        <f>DEC2HEX(mem_dec!C124)</f>
        <v>0</v>
      </c>
      <c r="D124" s="19" t="str">
        <f>DEC2HEX(mem_dec!D124)</f>
        <v>0</v>
      </c>
    </row>
    <row r="125" spans="1:4">
      <c r="A125" s="19" t="str">
        <f>DEC2HEX(mem_dec!A125)</f>
        <v>0</v>
      </c>
      <c r="B125" s="19" t="str">
        <f>DEC2HEX(mem_dec!B125)</f>
        <v>0</v>
      </c>
      <c r="C125" s="19" t="str">
        <f>DEC2HEX(mem_dec!C125)</f>
        <v>0</v>
      </c>
      <c r="D125" s="19" t="str">
        <f>DEC2HEX(mem_dec!D125)</f>
        <v>0</v>
      </c>
    </row>
    <row r="126" spans="1:4">
      <c r="A126" s="19" t="str">
        <f>DEC2HEX(mem_dec!A126)</f>
        <v>0</v>
      </c>
      <c r="B126" s="19" t="str">
        <f>DEC2HEX(mem_dec!B126)</f>
        <v>0</v>
      </c>
      <c r="C126" s="19" t="str">
        <f>DEC2HEX(mem_dec!C126)</f>
        <v>0</v>
      </c>
      <c r="D126" s="19" t="str">
        <f>DEC2HEX(mem_dec!D126)</f>
        <v>0</v>
      </c>
    </row>
    <row r="127" spans="1:4">
      <c r="A127" s="19" t="str">
        <f>DEC2HEX(mem_dec!A127)</f>
        <v>0</v>
      </c>
      <c r="B127" s="19" t="str">
        <f>DEC2HEX(mem_dec!B127)</f>
        <v>0</v>
      </c>
      <c r="C127" s="19" t="str">
        <f>DEC2HEX(mem_dec!C127)</f>
        <v>0</v>
      </c>
      <c r="D127" s="19" t="str">
        <f>DEC2HEX(mem_dec!D127)</f>
        <v>0</v>
      </c>
    </row>
    <row r="128" spans="1:4">
      <c r="A128" s="19" t="str">
        <f>DEC2HEX(mem_dec!A128)</f>
        <v>0</v>
      </c>
      <c r="B128" s="19" t="str">
        <f>DEC2HEX(mem_dec!B128)</f>
        <v>0</v>
      </c>
      <c r="C128" s="19" t="str">
        <f>DEC2HEX(mem_dec!C128)</f>
        <v>0</v>
      </c>
      <c r="D128" s="19" t="str">
        <f>DEC2HEX(mem_dec!D128)</f>
        <v>0</v>
      </c>
    </row>
    <row r="129" spans="1:4">
      <c r="A129" t="str">
        <f>DEC2HEX(mem_dec!A129)</f>
        <v>0</v>
      </c>
      <c r="B129" t="str">
        <f>DEC2HEX(mem_dec!B129)</f>
        <v>0</v>
      </c>
      <c r="C129" t="str">
        <f>DEC2HEX(mem_dec!C129)</f>
        <v>0</v>
      </c>
      <c r="D129" t="str">
        <f>DEC2HEX(mem_dec!D129)</f>
        <v>0</v>
      </c>
    </row>
    <row r="130" spans="1:4">
      <c r="A130" t="str">
        <f>DEC2HEX(mem_dec!A130)</f>
        <v>0</v>
      </c>
      <c r="B130" t="str">
        <f>DEC2HEX(mem_dec!B130)</f>
        <v>0</v>
      </c>
      <c r="C130" t="str">
        <f>DEC2HEX(mem_dec!C130)</f>
        <v>0</v>
      </c>
      <c r="D130" t="str">
        <f>DEC2HEX(mem_dec!D130)</f>
        <v>0</v>
      </c>
    </row>
    <row r="131" spans="1:4">
      <c r="A131" t="str">
        <f>DEC2HEX(mem_dec!A131)</f>
        <v>0</v>
      </c>
      <c r="B131" t="str">
        <f>DEC2HEX(mem_dec!B131)</f>
        <v>0</v>
      </c>
      <c r="C131" t="str">
        <f>DEC2HEX(mem_dec!C131)</f>
        <v>0</v>
      </c>
      <c r="D131" t="str">
        <f>DEC2HEX(mem_dec!D131)</f>
        <v>0</v>
      </c>
    </row>
    <row r="132" spans="1:4">
      <c r="A132" t="str">
        <f>DEC2HEX(mem_dec!A132)</f>
        <v>0</v>
      </c>
      <c r="B132" t="str">
        <f>DEC2HEX(mem_dec!B132)</f>
        <v>0</v>
      </c>
      <c r="C132" t="str">
        <f>DEC2HEX(mem_dec!C132)</f>
        <v>0</v>
      </c>
      <c r="D132" t="str">
        <f>DEC2HEX(mem_dec!D132)</f>
        <v>0</v>
      </c>
    </row>
    <row r="133" spans="1:4">
      <c r="A133" t="str">
        <f>DEC2HEX(mem_dec!A133)</f>
        <v>0</v>
      </c>
      <c r="B133" t="str">
        <f>DEC2HEX(mem_dec!B133)</f>
        <v>0</v>
      </c>
      <c r="C133" t="str">
        <f>DEC2HEX(mem_dec!C133)</f>
        <v>0</v>
      </c>
      <c r="D133" t="str">
        <f>DEC2HEX(mem_dec!D133)</f>
        <v>0</v>
      </c>
    </row>
    <row r="134" spans="1:4">
      <c r="A134" t="str">
        <f>DEC2HEX(mem_dec!A134)</f>
        <v>0</v>
      </c>
      <c r="B134" t="str">
        <f>DEC2HEX(mem_dec!B134)</f>
        <v>0</v>
      </c>
      <c r="C134" t="str">
        <f>DEC2HEX(mem_dec!C134)</f>
        <v>0</v>
      </c>
      <c r="D134" t="str">
        <f>DEC2HEX(mem_dec!D134)</f>
        <v>0</v>
      </c>
    </row>
    <row r="135" spans="1:4">
      <c r="A135" t="str">
        <f>DEC2HEX(mem_dec!A135)</f>
        <v>0</v>
      </c>
      <c r="B135" t="str">
        <f>DEC2HEX(mem_dec!B135)</f>
        <v>0</v>
      </c>
      <c r="C135" t="str">
        <f>DEC2HEX(mem_dec!C135)</f>
        <v>0</v>
      </c>
      <c r="D135" t="str">
        <f>DEC2HEX(mem_dec!D135)</f>
        <v>0</v>
      </c>
    </row>
    <row r="136" spans="1:4">
      <c r="A136" t="str">
        <f>DEC2HEX(mem_dec!A136)</f>
        <v>0</v>
      </c>
      <c r="B136" t="str">
        <f>DEC2HEX(mem_dec!B136)</f>
        <v>0</v>
      </c>
      <c r="C136" t="str">
        <f>DEC2HEX(mem_dec!C136)</f>
        <v>0</v>
      </c>
      <c r="D136" t="str">
        <f>DEC2HEX(mem_dec!D136)</f>
        <v>0</v>
      </c>
    </row>
    <row r="137" spans="1:4">
      <c r="A137" t="str">
        <f>DEC2HEX(mem_dec!A137)</f>
        <v>0</v>
      </c>
      <c r="B137" t="str">
        <f>DEC2HEX(mem_dec!B137)</f>
        <v>0</v>
      </c>
      <c r="C137" t="str">
        <f>DEC2HEX(mem_dec!C137)</f>
        <v>0</v>
      </c>
      <c r="D137" t="str">
        <f>DEC2HEX(mem_dec!D137)</f>
        <v>0</v>
      </c>
    </row>
    <row r="138" spans="1:4">
      <c r="A138" t="str">
        <f>DEC2HEX(mem_dec!A138)</f>
        <v>0</v>
      </c>
      <c r="B138" t="str">
        <f>DEC2HEX(mem_dec!B138)</f>
        <v>0</v>
      </c>
      <c r="C138" t="str">
        <f>DEC2HEX(mem_dec!C138)</f>
        <v>0</v>
      </c>
      <c r="D138" t="str">
        <f>DEC2HEX(mem_dec!D138)</f>
        <v>0</v>
      </c>
    </row>
    <row r="139" spans="1:4">
      <c r="A139" t="str">
        <f>DEC2HEX(mem_dec!A139)</f>
        <v>0</v>
      </c>
      <c r="B139" t="str">
        <f>DEC2HEX(mem_dec!B139)</f>
        <v>0</v>
      </c>
      <c r="C139" t="str">
        <f>DEC2HEX(mem_dec!C139)</f>
        <v>0</v>
      </c>
      <c r="D139" t="str">
        <f>DEC2HEX(mem_dec!D139)</f>
        <v>0</v>
      </c>
    </row>
    <row r="140" spans="1:4">
      <c r="A140" t="str">
        <f>DEC2HEX(mem_dec!A140)</f>
        <v>0</v>
      </c>
      <c r="B140" t="str">
        <f>DEC2HEX(mem_dec!B140)</f>
        <v>0</v>
      </c>
      <c r="C140" t="str">
        <f>DEC2HEX(mem_dec!C140)</f>
        <v>0</v>
      </c>
      <c r="D140" t="str">
        <f>DEC2HEX(mem_dec!D140)</f>
        <v>0</v>
      </c>
    </row>
    <row r="141" spans="1:4">
      <c r="A141" t="str">
        <f>DEC2HEX(mem_dec!A141)</f>
        <v>0</v>
      </c>
      <c r="B141" t="str">
        <f>DEC2HEX(mem_dec!B141)</f>
        <v>0</v>
      </c>
      <c r="C141" t="str">
        <f>DEC2HEX(mem_dec!C141)</f>
        <v>0</v>
      </c>
      <c r="D141" t="str">
        <f>DEC2HEX(mem_dec!D141)</f>
        <v>0</v>
      </c>
    </row>
    <row r="142" spans="1:4">
      <c r="A142" t="str">
        <f>DEC2HEX(mem_dec!A142)</f>
        <v>0</v>
      </c>
      <c r="B142" t="str">
        <f>DEC2HEX(mem_dec!B142)</f>
        <v>0</v>
      </c>
      <c r="C142" t="str">
        <f>DEC2HEX(mem_dec!C142)</f>
        <v>0</v>
      </c>
      <c r="D142" t="str">
        <f>DEC2HEX(mem_dec!D142)</f>
        <v>0</v>
      </c>
    </row>
    <row r="143" spans="1:4">
      <c r="A143" t="str">
        <f>DEC2HEX(mem_dec!A143)</f>
        <v>0</v>
      </c>
      <c r="B143" t="str">
        <f>DEC2HEX(mem_dec!B143)</f>
        <v>0</v>
      </c>
      <c r="C143" t="str">
        <f>DEC2HEX(mem_dec!C143)</f>
        <v>0</v>
      </c>
      <c r="D143" t="str">
        <f>DEC2HEX(mem_dec!D143)</f>
        <v>0</v>
      </c>
    </row>
    <row r="144" spans="1:4">
      <c r="A144" t="str">
        <f>DEC2HEX(mem_dec!A144)</f>
        <v>0</v>
      </c>
      <c r="B144" t="str">
        <f>DEC2HEX(mem_dec!B144)</f>
        <v>0</v>
      </c>
      <c r="C144" t="str">
        <f>DEC2HEX(mem_dec!C144)</f>
        <v>0</v>
      </c>
      <c r="D144" t="str">
        <f>DEC2HEX(mem_dec!D144)</f>
        <v>0</v>
      </c>
    </row>
    <row r="145" spans="1:4">
      <c r="A145" t="str">
        <f>DEC2HEX(mem_dec!A145)</f>
        <v>0</v>
      </c>
      <c r="B145" t="str">
        <f>DEC2HEX(mem_dec!B145)</f>
        <v>0</v>
      </c>
      <c r="C145" t="str">
        <f>DEC2HEX(mem_dec!C145)</f>
        <v>0</v>
      </c>
      <c r="D145" t="str">
        <f>DEC2HEX(mem_dec!D145)</f>
        <v>0</v>
      </c>
    </row>
    <row r="146" spans="1:4">
      <c r="A146" t="str">
        <f>DEC2HEX(mem_dec!A146)</f>
        <v>0</v>
      </c>
      <c r="B146" t="str">
        <f>DEC2HEX(mem_dec!B146)</f>
        <v>0</v>
      </c>
      <c r="C146" t="str">
        <f>DEC2HEX(mem_dec!C146)</f>
        <v>0</v>
      </c>
      <c r="D146" t="str">
        <f>DEC2HEX(mem_dec!D146)</f>
        <v>0</v>
      </c>
    </row>
    <row r="147" spans="1:4">
      <c r="A147" t="str">
        <f>DEC2HEX(mem_dec!A147)</f>
        <v>0</v>
      </c>
      <c r="B147" t="str">
        <f>DEC2HEX(mem_dec!B147)</f>
        <v>0</v>
      </c>
      <c r="C147" t="str">
        <f>DEC2HEX(mem_dec!C147)</f>
        <v>0</v>
      </c>
      <c r="D147" t="str">
        <f>DEC2HEX(mem_dec!D147)</f>
        <v>0</v>
      </c>
    </row>
    <row r="148" spans="1:4">
      <c r="A148" t="str">
        <f>DEC2HEX(mem_dec!A148)</f>
        <v>0</v>
      </c>
      <c r="B148" t="str">
        <f>DEC2HEX(mem_dec!B148)</f>
        <v>0</v>
      </c>
      <c r="C148" t="str">
        <f>DEC2HEX(mem_dec!C148)</f>
        <v>0</v>
      </c>
      <c r="D148" t="str">
        <f>DEC2HEX(mem_dec!D148)</f>
        <v>0</v>
      </c>
    </row>
    <row r="149" spans="1:4">
      <c r="A149" t="str">
        <f>DEC2HEX(mem_dec!A149)</f>
        <v>0</v>
      </c>
      <c r="B149" t="str">
        <f>DEC2HEX(mem_dec!B149)</f>
        <v>0</v>
      </c>
      <c r="C149" t="str">
        <f>DEC2HEX(mem_dec!C149)</f>
        <v>0</v>
      </c>
      <c r="D149" t="str">
        <f>DEC2HEX(mem_dec!D149)</f>
        <v>0</v>
      </c>
    </row>
    <row r="150" spans="1:4">
      <c r="A150" t="str">
        <f>DEC2HEX(mem_dec!A150)</f>
        <v>0</v>
      </c>
      <c r="B150" t="str">
        <f>DEC2HEX(mem_dec!B150)</f>
        <v>0</v>
      </c>
      <c r="C150" t="str">
        <f>DEC2HEX(mem_dec!C150)</f>
        <v>0</v>
      </c>
      <c r="D150" t="str">
        <f>DEC2HEX(mem_dec!D150)</f>
        <v>0</v>
      </c>
    </row>
    <row r="151" spans="1:4">
      <c r="A151" t="str">
        <f>DEC2HEX(mem_dec!A151)</f>
        <v>0</v>
      </c>
      <c r="B151" t="str">
        <f>DEC2HEX(mem_dec!B151)</f>
        <v>0</v>
      </c>
      <c r="C151" t="str">
        <f>DEC2HEX(mem_dec!C151)</f>
        <v>0</v>
      </c>
      <c r="D151" t="str">
        <f>DEC2HEX(mem_dec!D151)</f>
        <v>0</v>
      </c>
    </row>
    <row r="152" spans="1:4">
      <c r="A152" t="str">
        <f>DEC2HEX(mem_dec!A152)</f>
        <v>0</v>
      </c>
      <c r="B152" t="str">
        <f>DEC2HEX(mem_dec!B152)</f>
        <v>0</v>
      </c>
      <c r="C152" t="str">
        <f>DEC2HEX(mem_dec!C152)</f>
        <v>0</v>
      </c>
      <c r="D152" t="str">
        <f>DEC2HEX(mem_dec!D152)</f>
        <v>0</v>
      </c>
    </row>
    <row r="153" spans="1:4">
      <c r="A153" t="str">
        <f>DEC2HEX(mem_dec!A153)</f>
        <v>0</v>
      </c>
      <c r="B153" t="str">
        <f>DEC2HEX(mem_dec!B153)</f>
        <v>0</v>
      </c>
      <c r="C153" t="str">
        <f>DEC2HEX(mem_dec!C153)</f>
        <v>0</v>
      </c>
      <c r="D153" t="str">
        <f>DEC2HEX(mem_dec!D153)</f>
        <v>0</v>
      </c>
    </row>
    <row r="154" spans="1:4">
      <c r="A154" t="str">
        <f>DEC2HEX(mem_dec!A154)</f>
        <v>0</v>
      </c>
      <c r="B154" t="str">
        <f>DEC2HEX(mem_dec!B154)</f>
        <v>0</v>
      </c>
      <c r="C154" t="str">
        <f>DEC2HEX(mem_dec!C154)</f>
        <v>0</v>
      </c>
      <c r="D154" t="str">
        <f>DEC2HEX(mem_dec!D154)</f>
        <v>0</v>
      </c>
    </row>
  </sheetData>
  <mergeCells count="4">
    <mergeCell ref="E1:E20"/>
    <mergeCell ref="E21:E40"/>
    <mergeCell ref="E41:E60"/>
    <mergeCell ref="E61:E8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B7B6F-63FB-4815-8995-57121255FB68}">
  <sheetPr codeName="Foglio2"/>
  <dimension ref="A1:J80"/>
  <sheetViews>
    <sheetView workbookViewId="0">
      <selection activeCell="I45" sqref="I45"/>
    </sheetView>
  </sheetViews>
  <sheetFormatPr defaultRowHeight="14.25"/>
  <cols>
    <col min="7" max="7" width="12.5" customWidth="1"/>
    <col min="10" max="10" width="23.25" customWidth="1"/>
  </cols>
  <sheetData>
    <row r="1" spans="1:9">
      <c r="A1" s="17">
        <f>mem_dec!A1*mem_dec!A81</f>
        <v>2739</v>
      </c>
      <c r="B1" s="17">
        <f>mem_dec!B1*mem_dec!B81</f>
        <v>27370</v>
      </c>
      <c r="C1" s="17">
        <f>mem_dec!C1*mem_dec!C81</f>
        <v>750</v>
      </c>
      <c r="D1" s="17">
        <f>mem_dec!D1*mem_dec!D81</f>
        <v>3456</v>
      </c>
      <c r="E1" s="28"/>
      <c r="F1" s="17">
        <f>SUM(A1:D1)</f>
        <v>34315</v>
      </c>
      <c r="H1" s="23">
        <v>1</v>
      </c>
      <c r="I1" s="23">
        <f>F1+F6+F11+F16</f>
        <v>220134</v>
      </c>
    </row>
    <row r="2" spans="1:9">
      <c r="A2" s="17">
        <f>mem_dec!A2*mem_dec!A82</f>
        <v>4209</v>
      </c>
      <c r="B2" s="17">
        <f>mem_dec!B2*mem_dec!B82</f>
        <v>22572</v>
      </c>
      <c r="C2" s="17">
        <f>mem_dec!C2*mem_dec!C82</f>
        <v>18988</v>
      </c>
      <c r="D2" s="17">
        <f>mem_dec!D2*mem_dec!D82</f>
        <v>26130</v>
      </c>
      <c r="E2" s="28"/>
      <c r="F2" s="17">
        <f t="shared" ref="F2:F65" si="0">SUM(A2:D2)</f>
        <v>71899</v>
      </c>
      <c r="H2" s="23">
        <v>2</v>
      </c>
      <c r="I2" s="23">
        <f>F2+F7+F12+F17</f>
        <v>279148</v>
      </c>
    </row>
    <row r="3" spans="1:9">
      <c r="A3" s="17">
        <f>mem_dec!A3*mem_dec!A83</f>
        <v>3276</v>
      </c>
      <c r="B3" s="17">
        <f>mem_dec!B3*mem_dec!B83</f>
        <v>6930</v>
      </c>
      <c r="C3" s="17">
        <f>mem_dec!C3*mem_dec!C83</f>
        <v>35360</v>
      </c>
      <c r="D3" s="17">
        <f>mem_dec!D3*mem_dec!D83</f>
        <v>17424</v>
      </c>
      <c r="E3" s="28"/>
      <c r="F3" s="17">
        <f t="shared" si="0"/>
        <v>62990</v>
      </c>
      <c r="H3" s="23">
        <v>3</v>
      </c>
      <c r="I3" s="23">
        <f>F3+F8+F13+F18</f>
        <v>260790</v>
      </c>
    </row>
    <row r="4" spans="1:9">
      <c r="A4" s="17">
        <f>mem_dec!A4*mem_dec!A84</f>
        <v>1644</v>
      </c>
      <c r="B4" s="17">
        <f>mem_dec!B4*mem_dec!B84</f>
        <v>34788</v>
      </c>
      <c r="C4" s="17">
        <f>mem_dec!C4*mem_dec!C84</f>
        <v>24311</v>
      </c>
      <c r="D4" s="17">
        <f>mem_dec!D4*mem_dec!D84</f>
        <v>13230</v>
      </c>
      <c r="E4" s="28"/>
      <c r="F4" s="17">
        <f t="shared" si="0"/>
        <v>73973</v>
      </c>
      <c r="H4" s="23">
        <v>4</v>
      </c>
      <c r="I4" s="23">
        <f>F4+F9+F14+F19</f>
        <v>318177</v>
      </c>
    </row>
    <row r="5" spans="1:9">
      <c r="A5" s="17">
        <f>mem_dec!A5*mem_dec!A85</f>
        <v>199</v>
      </c>
      <c r="B5" s="17">
        <f>mem_dec!B5*mem_dec!B85</f>
        <v>51296</v>
      </c>
      <c r="C5" s="17">
        <f>mem_dec!C5*mem_dec!C85</f>
        <v>9928</v>
      </c>
      <c r="D5" s="17">
        <f>mem_dec!D5*mem_dec!D85</f>
        <v>17136</v>
      </c>
      <c r="E5" s="28"/>
      <c r="F5" s="17">
        <f t="shared" si="0"/>
        <v>78559</v>
      </c>
      <c r="H5" s="23">
        <v>5</v>
      </c>
      <c r="I5" s="23">
        <f>F5+F10+F15+F20</f>
        <v>310081</v>
      </c>
    </row>
    <row r="6" spans="1:9">
      <c r="A6" s="18">
        <f>mem_dec!A6*mem_dec!A89</f>
        <v>35952</v>
      </c>
      <c r="B6" s="18">
        <f>mem_dec!B6*mem_dec!B89</f>
        <v>44880</v>
      </c>
      <c r="C6" s="18">
        <f>mem_dec!C6*mem_dec!C89</f>
        <v>9718</v>
      </c>
      <c r="D6" s="18">
        <f>mem_dec!D6*mem_dec!D89</f>
        <v>3220</v>
      </c>
      <c r="E6" s="28"/>
      <c r="F6" s="18">
        <f t="shared" si="0"/>
        <v>93770</v>
      </c>
      <c r="H6" s="23" t="s">
        <v>6</v>
      </c>
      <c r="I6" s="23">
        <f>SUM(I1:I5)</f>
        <v>1388330</v>
      </c>
    </row>
    <row r="7" spans="1:9">
      <c r="A7" s="18">
        <f>mem_dec!A7*mem_dec!A90</f>
        <v>9389</v>
      </c>
      <c r="B7" s="18">
        <f>mem_dec!B7*mem_dec!B90</f>
        <v>32120</v>
      </c>
      <c r="C7" s="18">
        <f>mem_dec!C7*mem_dec!C90</f>
        <v>24804</v>
      </c>
      <c r="D7" s="18">
        <f>mem_dec!D7*mem_dec!D90</f>
        <v>1995</v>
      </c>
      <c r="E7" s="28"/>
      <c r="F7" s="18">
        <f t="shared" si="0"/>
        <v>68308</v>
      </c>
    </row>
    <row r="8" spans="1:9">
      <c r="A8" s="18">
        <f>mem_dec!A8*mem_dec!A91</f>
        <v>31548</v>
      </c>
      <c r="B8" s="18">
        <f>mem_dec!B8*mem_dec!B91</f>
        <v>11771</v>
      </c>
      <c r="C8" s="18">
        <f>mem_dec!C8*mem_dec!C91</f>
        <v>41356</v>
      </c>
      <c r="D8" s="18">
        <f>mem_dec!D8*mem_dec!D91</f>
        <v>4914</v>
      </c>
      <c r="E8" s="28"/>
      <c r="F8" s="18">
        <f t="shared" si="0"/>
        <v>89589</v>
      </c>
    </row>
    <row r="9" spans="1:9">
      <c r="A9" s="18">
        <f>mem_dec!A9*mem_dec!A92</f>
        <v>4859</v>
      </c>
      <c r="B9" s="18">
        <f>mem_dec!B9*mem_dec!B92</f>
        <v>13860</v>
      </c>
      <c r="C9" s="18">
        <f>mem_dec!C9*mem_dec!C92</f>
        <v>13248</v>
      </c>
      <c r="D9" s="18">
        <f>mem_dec!D9*mem_dec!D92</f>
        <v>14763</v>
      </c>
      <c r="E9" s="28"/>
      <c r="F9" s="18">
        <f t="shared" si="0"/>
        <v>46730</v>
      </c>
    </row>
    <row r="10" spans="1:9">
      <c r="A10" s="18">
        <f>mem_dec!A10*mem_dec!A93</f>
        <v>36888</v>
      </c>
      <c r="B10" s="18">
        <f>mem_dec!B10*mem_dec!B93</f>
        <v>1802</v>
      </c>
      <c r="C10" s="18">
        <f>mem_dec!C10*mem_dec!C93</f>
        <v>19596</v>
      </c>
      <c r="D10" s="18">
        <f>mem_dec!D10*mem_dec!D93</f>
        <v>12880</v>
      </c>
      <c r="E10" s="28"/>
      <c r="F10" s="18">
        <f t="shared" si="0"/>
        <v>71166</v>
      </c>
    </row>
    <row r="11" spans="1:9">
      <c r="A11" s="17">
        <f>mem_dec!A11*mem_dec!A97</f>
        <v>39520</v>
      </c>
      <c r="B11" s="17">
        <f>mem_dec!B11*mem_dec!B97</f>
        <v>13776</v>
      </c>
      <c r="C11" s="17">
        <f>mem_dec!C11*mem_dec!C97</f>
        <v>3081</v>
      </c>
      <c r="D11" s="17">
        <f>mem_dec!D11*mem_dec!D97</f>
        <v>8946</v>
      </c>
      <c r="E11" s="28"/>
      <c r="F11" s="17">
        <f t="shared" si="0"/>
        <v>65323</v>
      </c>
    </row>
    <row r="12" spans="1:9">
      <c r="A12" s="17">
        <f>mem_dec!A12*mem_dec!A98</f>
        <v>3888</v>
      </c>
      <c r="B12" s="17">
        <f>mem_dec!B12*mem_dec!B98</f>
        <v>25064</v>
      </c>
      <c r="C12" s="17">
        <f>mem_dec!C12*mem_dec!C98</f>
        <v>5895</v>
      </c>
      <c r="D12" s="17">
        <f>mem_dec!D12*mem_dec!D98</f>
        <v>6364</v>
      </c>
      <c r="E12" s="28"/>
      <c r="F12" s="17">
        <f t="shared" si="0"/>
        <v>41211</v>
      </c>
    </row>
    <row r="13" spans="1:9">
      <c r="A13" s="17">
        <f>mem_dec!A13*mem_dec!A99</f>
        <v>19902</v>
      </c>
      <c r="B13" s="17">
        <f>mem_dec!B13*mem_dec!B99</f>
        <v>5712</v>
      </c>
      <c r="C13" s="17">
        <f>mem_dec!C13*mem_dec!C99</f>
        <v>161</v>
      </c>
      <c r="D13" s="17">
        <f>mem_dec!D13*mem_dec!D99</f>
        <v>37440</v>
      </c>
      <c r="E13" s="28"/>
      <c r="F13" s="17">
        <f t="shared" si="0"/>
        <v>63215</v>
      </c>
    </row>
    <row r="14" spans="1:9">
      <c r="A14" s="17">
        <f>mem_dec!A14*mem_dec!A100</f>
        <v>30942</v>
      </c>
      <c r="B14" s="17">
        <f>mem_dec!B14*mem_dec!B100</f>
        <v>8613</v>
      </c>
      <c r="C14" s="17">
        <f>mem_dec!C14*mem_dec!C100</f>
        <v>24056</v>
      </c>
      <c r="D14" s="17">
        <f>mem_dec!D14*mem_dec!D100</f>
        <v>2625</v>
      </c>
      <c r="E14" s="28"/>
      <c r="F14" s="17">
        <f t="shared" si="0"/>
        <v>66236</v>
      </c>
    </row>
    <row r="15" spans="1:9">
      <c r="A15" s="17">
        <f>mem_dec!A15*mem_dec!A101</f>
        <v>19656</v>
      </c>
      <c r="B15" s="17">
        <f>mem_dec!B15*mem_dec!B101</f>
        <v>5082</v>
      </c>
      <c r="C15" s="17">
        <f>mem_dec!C15*mem_dec!C101</f>
        <v>21714</v>
      </c>
      <c r="D15" s="17">
        <f>mem_dec!D15*mem_dec!D101</f>
        <v>10502</v>
      </c>
      <c r="E15" s="28"/>
      <c r="F15" s="17">
        <f t="shared" si="0"/>
        <v>56954</v>
      </c>
    </row>
    <row r="16" spans="1:9">
      <c r="A16" s="18">
        <f>mem_dec!A16*mem_dec!A105</f>
        <v>2561</v>
      </c>
      <c r="B16" s="18">
        <f>mem_dec!B16*mem_dec!B105</f>
        <v>12480</v>
      </c>
      <c r="C16" s="18">
        <f>mem_dec!C16*mem_dec!C105</f>
        <v>2277</v>
      </c>
      <c r="D16" s="18">
        <f>mem_dec!D16*mem_dec!D105</f>
        <v>9408</v>
      </c>
      <c r="E16" s="28"/>
      <c r="F16" s="18">
        <f>SUM(A16:D16)</f>
        <v>26726</v>
      </c>
    </row>
    <row r="17" spans="1:10">
      <c r="A17" s="18">
        <f>mem_dec!A17*mem_dec!A106</f>
        <v>14940</v>
      </c>
      <c r="B17" s="18">
        <f>mem_dec!B17*mem_dec!B106</f>
        <v>34416</v>
      </c>
      <c r="C17" s="18">
        <f>mem_dec!C17*mem_dec!C106</f>
        <v>6216</v>
      </c>
      <c r="D17" s="18">
        <f>mem_dec!D17*mem_dec!D106</f>
        <v>42158</v>
      </c>
      <c r="E17" s="28"/>
      <c r="F17" s="18">
        <f t="shared" si="0"/>
        <v>97730</v>
      </c>
    </row>
    <row r="18" spans="1:10">
      <c r="A18" s="18">
        <f>mem_dec!A18*mem_dec!A107</f>
        <v>2970</v>
      </c>
      <c r="B18" s="18">
        <f>mem_dec!B18*mem_dec!B107</f>
        <v>24990</v>
      </c>
      <c r="C18" s="18">
        <f>mem_dec!C18*mem_dec!C107</f>
        <v>11830</v>
      </c>
      <c r="D18" s="18">
        <f>mem_dec!D18*mem_dec!D107</f>
        <v>5206</v>
      </c>
      <c r="E18" s="28"/>
      <c r="F18" s="18">
        <f t="shared" si="0"/>
        <v>44996</v>
      </c>
    </row>
    <row r="19" spans="1:10">
      <c r="A19" s="18">
        <f>mem_dec!A19*mem_dec!A108</f>
        <v>17556</v>
      </c>
      <c r="B19" s="18">
        <f>mem_dec!B19*mem_dec!B108</f>
        <v>42660</v>
      </c>
      <c r="C19" s="18">
        <f>mem_dec!C19*mem_dec!C108</f>
        <v>48792</v>
      </c>
      <c r="D19" s="18">
        <f>mem_dec!D19*mem_dec!D108</f>
        <v>22230</v>
      </c>
      <c r="E19" s="28"/>
      <c r="F19" s="18">
        <f t="shared" si="0"/>
        <v>131238</v>
      </c>
    </row>
    <row r="20" spans="1:10">
      <c r="A20" s="18">
        <f>mem_dec!A20*mem_dec!A109</f>
        <v>49164</v>
      </c>
      <c r="B20" s="18">
        <f>mem_dec!B20*mem_dec!B109</f>
        <v>7458</v>
      </c>
      <c r="C20" s="18">
        <f>mem_dec!C20*mem_dec!C109</f>
        <v>25724</v>
      </c>
      <c r="D20" s="18">
        <f>mem_dec!D20*mem_dec!D109</f>
        <v>21056</v>
      </c>
      <c r="E20" s="28"/>
      <c r="F20" s="18">
        <f t="shared" si="0"/>
        <v>103402</v>
      </c>
    </row>
    <row r="21" spans="1:10">
      <c r="A21" s="17">
        <f>mem_dec!A21*mem_dec!A81</f>
        <v>44571</v>
      </c>
      <c r="B21" s="17">
        <f>mem_dec!B21*mem_dec!B81</f>
        <v>32683</v>
      </c>
      <c r="C21" s="17">
        <f>mem_dec!C21*mem_dec!C81</f>
        <v>4260</v>
      </c>
      <c r="D21" s="17">
        <f>mem_dec!D21*mem_dec!D81</f>
        <v>43848</v>
      </c>
      <c r="E21" s="29"/>
      <c r="F21" s="17">
        <f t="shared" si="0"/>
        <v>125362</v>
      </c>
      <c r="G21" s="20"/>
      <c r="H21" s="23">
        <v>1</v>
      </c>
      <c r="I21" s="23">
        <f>F21+F26+F31+F36</f>
        <v>292540</v>
      </c>
    </row>
    <row r="22" spans="1:10">
      <c r="A22" s="17">
        <f>mem_dec!A22*mem_dec!A82</f>
        <v>15311</v>
      </c>
      <c r="B22" s="17">
        <f>mem_dec!B22*mem_dec!B82</f>
        <v>25608</v>
      </c>
      <c r="C22" s="17">
        <f>mem_dec!C22*mem_dec!C82</f>
        <v>11615</v>
      </c>
      <c r="D22" s="17">
        <f>mem_dec!D22*mem_dec!D82</f>
        <v>21710</v>
      </c>
      <c r="E22" s="30"/>
      <c r="F22" s="17">
        <f t="shared" si="0"/>
        <v>74244</v>
      </c>
      <c r="H22" s="23">
        <v>2</v>
      </c>
      <c r="I22" s="23">
        <f>F22+F27+F32+F37</f>
        <v>271452</v>
      </c>
      <c r="J22">
        <f>I21+I22</f>
        <v>563992</v>
      </c>
    </row>
    <row r="23" spans="1:10">
      <c r="A23" s="17">
        <f>mem_dec!A23*mem_dec!A83</f>
        <v>17082</v>
      </c>
      <c r="B23" s="17">
        <f>mem_dec!B23*mem_dec!B83</f>
        <v>11330</v>
      </c>
      <c r="C23" s="17">
        <f>mem_dec!C23*mem_dec!C83</f>
        <v>38896</v>
      </c>
      <c r="D23" s="17">
        <f>mem_dec!D23*mem_dec!D83</f>
        <v>9504</v>
      </c>
      <c r="E23" s="30"/>
      <c r="F23" s="17">
        <f t="shared" si="0"/>
        <v>76812</v>
      </c>
      <c r="H23" s="23">
        <v>3</v>
      </c>
      <c r="I23" s="23">
        <f>F23+F28+F33+F38</f>
        <v>333551</v>
      </c>
      <c r="J23">
        <f>J22+I23</f>
        <v>897543</v>
      </c>
    </row>
    <row r="24" spans="1:10">
      <c r="A24" s="17">
        <f>mem_dec!A24*mem_dec!A84</f>
        <v>25071</v>
      </c>
      <c r="B24" s="17">
        <f>mem_dec!B24*mem_dec!B84</f>
        <v>18096</v>
      </c>
      <c r="C24" s="17">
        <f>mem_dec!C24*mem_dec!C84</f>
        <v>30653</v>
      </c>
      <c r="D24" s="17">
        <f>mem_dec!D24*mem_dec!D84</f>
        <v>6660</v>
      </c>
      <c r="E24" s="30"/>
      <c r="F24" s="17">
        <f t="shared" si="0"/>
        <v>80480</v>
      </c>
      <c r="H24" s="23">
        <v>4</v>
      </c>
      <c r="I24" s="23">
        <f>F24+F29+F34+F39</f>
        <v>291106</v>
      </c>
      <c r="J24">
        <f t="shared" ref="J24:J25" si="1">J23+I24</f>
        <v>1188649</v>
      </c>
    </row>
    <row r="25" spans="1:10">
      <c r="A25" s="17">
        <f>mem_dec!A25*mem_dec!A85</f>
        <v>37611</v>
      </c>
      <c r="B25" s="17">
        <f>mem_dec!B25*mem_dec!B85</f>
        <v>7328</v>
      </c>
      <c r="C25" s="17">
        <f>mem_dec!C25*mem_dec!C85</f>
        <v>13600</v>
      </c>
      <c r="D25" s="17">
        <f>mem_dec!D25*mem_dec!D85</f>
        <v>25109</v>
      </c>
      <c r="E25" s="30"/>
      <c r="F25" s="17">
        <f t="shared" si="0"/>
        <v>83648</v>
      </c>
      <c r="H25" s="23">
        <v>5</v>
      </c>
      <c r="I25" s="23">
        <f>F25+F30+F35+F40</f>
        <v>341480</v>
      </c>
      <c r="J25">
        <f t="shared" si="1"/>
        <v>1530129</v>
      </c>
    </row>
    <row r="26" spans="1:10">
      <c r="A26" s="18">
        <f>mem_dec!A26*mem_dec!A89</f>
        <v>4280</v>
      </c>
      <c r="B26" s="18">
        <f>mem_dec!B26*mem_dec!B89</f>
        <v>17085</v>
      </c>
      <c r="C26" s="18">
        <f>mem_dec!C26*mem_dec!C89</f>
        <v>903</v>
      </c>
      <c r="D26" s="18">
        <f>mem_dec!D26*mem_dec!D89</f>
        <v>37030</v>
      </c>
      <c r="E26" s="30"/>
      <c r="F26" s="18">
        <f t="shared" si="0"/>
        <v>59298</v>
      </c>
      <c r="H26" s="23" t="s">
        <v>6</v>
      </c>
      <c r="I26" s="23">
        <f>SUM(I21:I25)</f>
        <v>1530129</v>
      </c>
    </row>
    <row r="27" spans="1:10">
      <c r="A27" s="18">
        <f>mem_dec!A27*mem_dec!A90</f>
        <v>8774</v>
      </c>
      <c r="B27" s="18">
        <f>mem_dec!B27*mem_dec!B90</f>
        <v>33440</v>
      </c>
      <c r="C27" s="18">
        <f>mem_dec!C27*mem_dec!C90</f>
        <v>33228</v>
      </c>
      <c r="D27" s="18">
        <f>mem_dec!D27*mem_dec!D90</f>
        <v>38</v>
      </c>
      <c r="E27" s="30"/>
      <c r="F27" s="18">
        <f t="shared" si="0"/>
        <v>75480</v>
      </c>
    </row>
    <row r="28" spans="1:10">
      <c r="A28" s="18">
        <f>mem_dec!A28*mem_dec!A91</f>
        <v>46844</v>
      </c>
      <c r="B28" s="18">
        <f>mem_dec!B28*mem_dec!B91</f>
        <v>12166</v>
      </c>
      <c r="C28" s="18">
        <f>mem_dec!C28*mem_dec!C91</f>
        <v>18228</v>
      </c>
      <c r="D28" s="18">
        <f>mem_dec!D28*mem_dec!D91</f>
        <v>12649</v>
      </c>
      <c r="E28" s="30"/>
      <c r="F28" s="18">
        <f t="shared" si="0"/>
        <v>89887</v>
      </c>
    </row>
    <row r="29" spans="1:10">
      <c r="A29" s="18">
        <f>mem_dec!A29*mem_dec!A92</f>
        <v>22035</v>
      </c>
      <c r="B29" s="18">
        <f>mem_dec!B29*mem_dec!B92</f>
        <v>37620</v>
      </c>
      <c r="C29" s="18">
        <f>mem_dec!C29*mem_dec!C92</f>
        <v>2024</v>
      </c>
      <c r="D29" s="18">
        <f>mem_dec!D29*mem_dec!D92</f>
        <v>19551</v>
      </c>
      <c r="E29" s="30"/>
      <c r="F29" s="18">
        <f t="shared" si="0"/>
        <v>81230</v>
      </c>
    </row>
    <row r="30" spans="1:10">
      <c r="A30" s="18">
        <f>mem_dec!A30*mem_dec!A93</f>
        <v>46428</v>
      </c>
      <c r="B30" s="18">
        <f>mem_dec!B30*mem_dec!B93</f>
        <v>3859</v>
      </c>
      <c r="C30" s="18">
        <f>mem_dec!C30*mem_dec!C93</f>
        <v>9936</v>
      </c>
      <c r="D30" s="18">
        <f>mem_dec!D30*mem_dec!D93</f>
        <v>6384</v>
      </c>
      <c r="E30" s="30"/>
      <c r="F30" s="18">
        <f t="shared" si="0"/>
        <v>66607</v>
      </c>
    </row>
    <row r="31" spans="1:10">
      <c r="A31" s="17">
        <f>mem_dec!A31*mem_dec!A97</f>
        <v>9880</v>
      </c>
      <c r="B31" s="17">
        <f>mem_dec!B31*mem_dec!B97</f>
        <v>5248</v>
      </c>
      <c r="C31" s="17">
        <f>mem_dec!C31*mem_dec!C97</f>
        <v>6201</v>
      </c>
      <c r="D31" s="17">
        <f>mem_dec!D31*mem_dec!D97</f>
        <v>13845</v>
      </c>
      <c r="E31" s="30"/>
      <c r="F31" s="17">
        <f t="shared" si="0"/>
        <v>35174</v>
      </c>
    </row>
    <row r="32" spans="1:10">
      <c r="A32" s="17">
        <f>mem_dec!A32*mem_dec!A98</f>
        <v>1776</v>
      </c>
      <c r="B32" s="17">
        <f>mem_dec!B32*mem_dec!B98</f>
        <v>57358</v>
      </c>
      <c r="C32" s="17">
        <f>mem_dec!C32*mem_dec!C98</f>
        <v>9956</v>
      </c>
      <c r="D32" s="17">
        <f>mem_dec!D32*mem_dec!D98</f>
        <v>17200</v>
      </c>
      <c r="E32" s="30"/>
      <c r="F32" s="17">
        <f t="shared" si="0"/>
        <v>86290</v>
      </c>
    </row>
    <row r="33" spans="1:9">
      <c r="A33" s="17">
        <f>mem_dec!A33*mem_dec!A99</f>
        <v>7440</v>
      </c>
      <c r="B33" s="17">
        <f>mem_dec!B33*mem_dec!B99</f>
        <v>53074</v>
      </c>
      <c r="C33" s="17">
        <f>mem_dec!C33*mem_dec!C99</f>
        <v>97</v>
      </c>
      <c r="D33" s="17">
        <f>mem_dec!D33*mem_dec!D99</f>
        <v>22048</v>
      </c>
      <c r="E33" s="30"/>
      <c r="F33" s="17">
        <f t="shared" si="0"/>
        <v>82659</v>
      </c>
    </row>
    <row r="34" spans="1:9">
      <c r="A34" s="17">
        <f>mem_dec!A34*mem_dec!A100</f>
        <v>573</v>
      </c>
      <c r="B34" s="17">
        <f>mem_dec!B34*mem_dec!B100</f>
        <v>20445</v>
      </c>
      <c r="C34" s="17">
        <f>mem_dec!C34*mem_dec!C100</f>
        <v>10912</v>
      </c>
      <c r="D34" s="17">
        <f>mem_dec!D34*mem_dec!D100</f>
        <v>5145</v>
      </c>
      <c r="E34" s="30"/>
      <c r="F34" s="17">
        <f t="shared" si="0"/>
        <v>37075</v>
      </c>
    </row>
    <row r="35" spans="1:9">
      <c r="A35" s="17">
        <f>mem_dec!A35*mem_dec!A101</f>
        <v>21000</v>
      </c>
      <c r="B35" s="17">
        <f>mem_dec!B35*mem_dec!B101</f>
        <v>3528</v>
      </c>
      <c r="C35" s="17">
        <f>mem_dec!C35*mem_dec!C101</f>
        <v>12408</v>
      </c>
      <c r="D35" s="17">
        <f>mem_dec!D35*mem_dec!D101</f>
        <v>38982</v>
      </c>
      <c r="E35" s="30"/>
      <c r="F35" s="17">
        <f t="shared" si="0"/>
        <v>75918</v>
      </c>
    </row>
    <row r="36" spans="1:9">
      <c r="A36" s="18">
        <f>mem_dec!A36*mem_dec!A105</f>
        <v>1820</v>
      </c>
      <c r="B36" s="18">
        <f>mem_dec!B36*mem_dec!B105</f>
        <v>29016</v>
      </c>
      <c r="C36" s="18">
        <f>mem_dec!C36*mem_dec!C105</f>
        <v>9614</v>
      </c>
      <c r="D36" s="18">
        <f>mem_dec!D36*mem_dec!D105</f>
        <v>32256</v>
      </c>
      <c r="E36" s="30"/>
      <c r="F36" s="18">
        <f t="shared" si="0"/>
        <v>72706</v>
      </c>
    </row>
    <row r="37" spans="1:9">
      <c r="A37" s="18">
        <f>mem_dec!A37*mem_dec!A106</f>
        <v>4950</v>
      </c>
      <c r="B37" s="18">
        <f>mem_dec!B37*mem_dec!B106</f>
        <v>13862</v>
      </c>
      <c r="C37" s="18">
        <f>mem_dec!C37*mem_dec!C106</f>
        <v>15984</v>
      </c>
      <c r="D37" s="18">
        <f>mem_dec!D37*mem_dec!D106</f>
        <v>642</v>
      </c>
      <c r="E37" s="30"/>
      <c r="F37" s="18">
        <f t="shared" si="0"/>
        <v>35438</v>
      </c>
    </row>
    <row r="38" spans="1:9">
      <c r="A38" s="18">
        <f>mem_dec!A38*mem_dec!A107</f>
        <v>23870</v>
      </c>
      <c r="B38" s="18">
        <f>mem_dec!B38*mem_dec!B107</f>
        <v>25410</v>
      </c>
      <c r="C38" s="18">
        <f>mem_dec!C38*mem_dec!C107</f>
        <v>13130</v>
      </c>
      <c r="D38" s="18">
        <f>mem_dec!D38*mem_dec!D107</f>
        <v>21783</v>
      </c>
      <c r="E38" s="30"/>
      <c r="F38" s="18">
        <f t="shared" si="0"/>
        <v>84193</v>
      </c>
    </row>
    <row r="39" spans="1:9">
      <c r="A39" s="18">
        <f>mem_dec!A39*mem_dec!A108</f>
        <v>9956</v>
      </c>
      <c r="B39" s="18">
        <f>mem_dec!B39*mem_dec!B108</f>
        <v>37446</v>
      </c>
      <c r="C39" s="18">
        <f>mem_dec!C39*mem_dec!C108</f>
        <v>26964</v>
      </c>
      <c r="D39" s="18">
        <f>mem_dec!D39*mem_dec!D108</f>
        <v>17955</v>
      </c>
      <c r="E39" s="30"/>
      <c r="F39" s="18">
        <f t="shared" si="0"/>
        <v>92321</v>
      </c>
    </row>
    <row r="40" spans="1:9">
      <c r="A40" s="18">
        <f>mem_dec!A40*mem_dec!A109</f>
        <v>46513</v>
      </c>
      <c r="B40" s="18">
        <f>mem_dec!B40*mem_dec!B109</f>
        <v>8250</v>
      </c>
      <c r="C40" s="18">
        <f>mem_dec!C40*mem_dec!C109</f>
        <v>39676</v>
      </c>
      <c r="D40" s="18">
        <f>mem_dec!D40*mem_dec!D109</f>
        <v>20868</v>
      </c>
      <c r="E40" s="31"/>
      <c r="F40" s="18">
        <f t="shared" si="0"/>
        <v>115307</v>
      </c>
    </row>
    <row r="41" spans="1:9">
      <c r="A41" s="17">
        <f>mem_dec!A41*mem_dec!A81</f>
        <v>45069</v>
      </c>
      <c r="B41" s="17">
        <f>mem_dec!B41*mem_dec!B81</f>
        <v>33971</v>
      </c>
      <c r="C41" s="17">
        <f>mem_dec!C41*mem_dec!C81</f>
        <v>7560</v>
      </c>
      <c r="D41" s="17">
        <f>mem_dec!D41*mem_dec!D81</f>
        <v>37584</v>
      </c>
      <c r="E41" s="29"/>
      <c r="F41" s="17">
        <f>SUM(A41:D41)</f>
        <v>124184</v>
      </c>
      <c r="G41" s="20"/>
      <c r="H41" s="23">
        <v>1</v>
      </c>
      <c r="I41" s="23">
        <f>F41+F46+F51+F56</f>
        <v>462796</v>
      </c>
    </row>
    <row r="42" spans="1:9">
      <c r="A42" s="17">
        <f>mem_dec!A42*mem_dec!A82</f>
        <v>1891</v>
      </c>
      <c r="B42" s="17">
        <f>mem_dec!B42*mem_dec!B82</f>
        <v>19140</v>
      </c>
      <c r="C42" s="17">
        <f>mem_dec!C42*mem_dec!C82</f>
        <v>22119</v>
      </c>
      <c r="D42" s="17">
        <f>mem_dec!D42*mem_dec!D82</f>
        <v>13390</v>
      </c>
      <c r="E42" s="30"/>
      <c r="F42" s="17">
        <f t="shared" ref="F42:F60" si="2">SUM(A42:D42)</f>
        <v>56540</v>
      </c>
      <c r="H42" s="23">
        <v>2</v>
      </c>
      <c r="I42" s="23">
        <f>F42+F47+F52+F57</f>
        <v>245536</v>
      </c>
    </row>
    <row r="43" spans="1:9">
      <c r="A43" s="17">
        <f>mem_dec!A43*mem_dec!A83</f>
        <v>14040</v>
      </c>
      <c r="B43" s="17">
        <f>mem_dec!B43*mem_dec!B83</f>
        <v>2200</v>
      </c>
      <c r="C43" s="17">
        <f>mem_dec!C43*mem_dec!C83</f>
        <v>54587</v>
      </c>
      <c r="D43" s="17">
        <f>mem_dec!D43*mem_dec!D83</f>
        <v>9936</v>
      </c>
      <c r="E43" s="30"/>
      <c r="F43" s="17">
        <f t="shared" si="2"/>
        <v>80763</v>
      </c>
      <c r="H43" s="23">
        <v>3</v>
      </c>
      <c r="I43" s="23">
        <f>F43+F48+F53+F58</f>
        <v>249450</v>
      </c>
    </row>
    <row r="44" spans="1:9">
      <c r="A44" s="17">
        <f>mem_dec!A44*mem_dec!A84</f>
        <v>9727</v>
      </c>
      <c r="B44" s="17">
        <f>mem_dec!B44*mem_dec!B84</f>
        <v>6396</v>
      </c>
      <c r="C44" s="17">
        <f>mem_dec!C44*mem_dec!C84</f>
        <v>20234</v>
      </c>
      <c r="D44" s="17">
        <f>mem_dec!D44*mem_dec!D84</f>
        <v>10440</v>
      </c>
      <c r="E44" s="30"/>
      <c r="F44" s="17">
        <f t="shared" si="2"/>
        <v>46797</v>
      </c>
      <c r="H44" s="23">
        <v>4</v>
      </c>
      <c r="I44" s="23">
        <f>F44+F49+F54+F59</f>
        <v>195991</v>
      </c>
    </row>
    <row r="45" spans="1:9">
      <c r="A45" s="17">
        <f>mem_dec!A45*mem_dec!A85</f>
        <v>40397</v>
      </c>
      <c r="B45" s="17">
        <f>mem_dec!B45*mem_dec!B85</f>
        <v>37098</v>
      </c>
      <c r="C45" s="17">
        <f>mem_dec!C45*mem_dec!C85</f>
        <v>18904</v>
      </c>
      <c r="D45" s="17">
        <f>mem_dec!D45*mem_dec!D85</f>
        <v>1428</v>
      </c>
      <c r="E45" s="30"/>
      <c r="F45" s="17">
        <f t="shared" si="2"/>
        <v>97827</v>
      </c>
      <c r="H45" s="23">
        <v>5</v>
      </c>
      <c r="I45" s="23">
        <f>F45+F50+F55+F60</f>
        <v>327532</v>
      </c>
    </row>
    <row r="46" spans="1:9">
      <c r="A46" s="18">
        <f>mem_dec!A46*mem_dec!A89</f>
        <v>50932</v>
      </c>
      <c r="B46" s="18">
        <f>mem_dec!B46*mem_dec!B89</f>
        <v>42840</v>
      </c>
      <c r="C46" s="18">
        <f>mem_dec!C46*mem_dec!C89</f>
        <v>5891</v>
      </c>
      <c r="D46" s="18">
        <f>mem_dec!D46*mem_dec!D89</f>
        <v>55890</v>
      </c>
      <c r="E46" s="30"/>
      <c r="F46" s="17">
        <f t="shared" si="2"/>
        <v>155553</v>
      </c>
      <c r="H46" s="23" t="s">
        <v>6</v>
      </c>
      <c r="I46" s="23">
        <f>SUM(I41:I45)</f>
        <v>1481305</v>
      </c>
    </row>
    <row r="47" spans="1:9">
      <c r="A47" s="18">
        <f>mem_dec!A47*mem_dec!A90</f>
        <v>4223</v>
      </c>
      <c r="B47" s="18">
        <f>mem_dec!B47*mem_dec!B90</f>
        <v>35200</v>
      </c>
      <c r="C47" s="18">
        <f>mem_dec!C47*mem_dec!C90</f>
        <v>5460</v>
      </c>
      <c r="D47" s="18">
        <f>mem_dec!D47*mem_dec!D90</f>
        <v>4370</v>
      </c>
      <c r="E47" s="30"/>
      <c r="F47" s="17">
        <f t="shared" si="2"/>
        <v>49253</v>
      </c>
    </row>
    <row r="48" spans="1:9">
      <c r="A48" s="18">
        <f>mem_dec!A48*mem_dec!A91</f>
        <v>11950</v>
      </c>
      <c r="B48" s="18">
        <f>mem_dec!B48*mem_dec!B91</f>
        <v>7031</v>
      </c>
      <c r="C48" s="18">
        <f>mem_dec!C48*mem_dec!C91</f>
        <v>49588</v>
      </c>
      <c r="D48" s="18">
        <f>mem_dec!D48*mem_dec!D91</f>
        <v>12012</v>
      </c>
      <c r="E48" s="30"/>
      <c r="F48" s="17">
        <f t="shared" si="2"/>
        <v>80581</v>
      </c>
    </row>
    <row r="49" spans="1:9">
      <c r="A49" s="18">
        <f>mem_dec!A49*mem_dec!A92</f>
        <v>6554</v>
      </c>
      <c r="B49" s="18">
        <f>mem_dec!B49*mem_dec!B92</f>
        <v>13640</v>
      </c>
      <c r="C49" s="18">
        <f>mem_dec!C49*mem_dec!C92</f>
        <v>6256</v>
      </c>
      <c r="D49" s="18">
        <f>mem_dec!D49*mem_dec!D92</f>
        <v>26201</v>
      </c>
      <c r="E49" s="30"/>
      <c r="F49" s="17">
        <f t="shared" si="2"/>
        <v>52651</v>
      </c>
    </row>
    <row r="50" spans="1:9">
      <c r="A50" s="18">
        <f>mem_dec!A50*mem_dec!A93</f>
        <v>26500</v>
      </c>
      <c r="B50" s="18">
        <f>mem_dec!B50*mem_dec!B93</f>
        <v>3519</v>
      </c>
      <c r="C50" s="18">
        <f>mem_dec!C50*mem_dec!C93</f>
        <v>11178</v>
      </c>
      <c r="D50" s="18">
        <f>mem_dec!D50*mem_dec!D93</f>
        <v>26544</v>
      </c>
      <c r="E50" s="30"/>
      <c r="F50" s="17">
        <f t="shared" si="2"/>
        <v>67741</v>
      </c>
    </row>
    <row r="51" spans="1:9">
      <c r="A51" s="17">
        <f>mem_dec!A51*mem_dec!A97</f>
        <v>40508</v>
      </c>
      <c r="B51" s="17">
        <f>mem_dec!B51*mem_dec!B97</f>
        <v>24928</v>
      </c>
      <c r="C51" s="17">
        <f>mem_dec!C51*mem_dec!C97</f>
        <v>9828</v>
      </c>
      <c r="D51" s="17">
        <f>mem_dec!D51*mem_dec!D97</f>
        <v>49629</v>
      </c>
      <c r="E51" s="30"/>
      <c r="F51" s="17">
        <f t="shared" si="2"/>
        <v>124893</v>
      </c>
    </row>
    <row r="52" spans="1:9">
      <c r="A52" s="17">
        <f>mem_dec!A52*mem_dec!A98</f>
        <v>2704</v>
      </c>
      <c r="B52" s="17">
        <f>mem_dec!B52*mem_dec!B98</f>
        <v>23618</v>
      </c>
      <c r="C52" s="17">
        <f>mem_dec!C52*mem_dec!C98</f>
        <v>24104</v>
      </c>
      <c r="D52" s="17">
        <f>mem_dec!D52*mem_dec!D98</f>
        <v>774</v>
      </c>
      <c r="E52" s="30"/>
      <c r="F52" s="17">
        <f t="shared" si="2"/>
        <v>51200</v>
      </c>
    </row>
    <row r="53" spans="1:9">
      <c r="A53" s="17">
        <f>mem_dec!A53*mem_dec!A99</f>
        <v>20646</v>
      </c>
      <c r="B53" s="17">
        <f>mem_dec!B53*mem_dec!B99</f>
        <v>14042</v>
      </c>
      <c r="C53" s="17">
        <f>mem_dec!C53*mem_dec!C99</f>
        <v>167</v>
      </c>
      <c r="D53" s="17">
        <f>mem_dec!D53*mem_dec!D99</f>
        <v>28496</v>
      </c>
      <c r="E53" s="30"/>
      <c r="F53" s="17">
        <f t="shared" si="2"/>
        <v>63351</v>
      </c>
    </row>
    <row r="54" spans="1:9">
      <c r="A54" s="17">
        <f>mem_dec!A54*mem_dec!A100</f>
        <v>23493</v>
      </c>
      <c r="B54" s="17">
        <f>mem_dec!B54*mem_dec!B100</f>
        <v>13137</v>
      </c>
      <c r="C54" s="17">
        <f>mem_dec!C54*mem_dec!C100</f>
        <v>1984</v>
      </c>
      <c r="D54" s="17">
        <f>mem_dec!D54*mem_dec!D100</f>
        <v>1610</v>
      </c>
      <c r="E54" s="30"/>
      <c r="F54" s="17">
        <f t="shared" si="2"/>
        <v>40224</v>
      </c>
    </row>
    <row r="55" spans="1:9">
      <c r="A55" s="17">
        <f>mem_dec!A55*mem_dec!A101</f>
        <v>35112</v>
      </c>
      <c r="B55" s="17">
        <f>mem_dec!B55*mem_dec!B101</f>
        <v>5103</v>
      </c>
      <c r="C55" s="17">
        <f>mem_dec!C55*mem_dec!C101</f>
        <v>10904</v>
      </c>
      <c r="D55" s="17">
        <f>mem_dec!D55*mem_dec!D101</f>
        <v>35600</v>
      </c>
      <c r="E55" s="30"/>
      <c r="F55" s="17">
        <f t="shared" si="2"/>
        <v>86719</v>
      </c>
    </row>
    <row r="56" spans="1:9">
      <c r="A56" s="18">
        <f>mem_dec!A56*mem_dec!A105</f>
        <v>1196</v>
      </c>
      <c r="B56" s="18">
        <f>mem_dec!B56*mem_dec!B105</f>
        <v>8892</v>
      </c>
      <c r="C56" s="18">
        <f>mem_dec!C56*mem_dec!C105</f>
        <v>7590</v>
      </c>
      <c r="D56" s="18">
        <f>mem_dec!D56*mem_dec!D105</f>
        <v>40488</v>
      </c>
      <c r="E56" s="30"/>
      <c r="F56" s="17">
        <f t="shared" si="2"/>
        <v>58166</v>
      </c>
    </row>
    <row r="57" spans="1:9">
      <c r="A57" s="18">
        <f>mem_dec!A57*mem_dec!A106</f>
        <v>15930</v>
      </c>
      <c r="B57" s="18">
        <f>mem_dec!B57*mem_dec!B106</f>
        <v>15057</v>
      </c>
      <c r="C57" s="18">
        <f>mem_dec!C57*mem_dec!C106</f>
        <v>17538</v>
      </c>
      <c r="D57" s="18">
        <f>mem_dec!D57*mem_dec!D106</f>
        <v>40018</v>
      </c>
      <c r="E57" s="30"/>
      <c r="F57" s="17">
        <f t="shared" si="2"/>
        <v>88543</v>
      </c>
    </row>
    <row r="58" spans="1:9">
      <c r="A58" s="18">
        <f>mem_dec!A58*mem_dec!A107</f>
        <v>16830</v>
      </c>
      <c r="B58" s="18">
        <f>mem_dec!B58*mem_dec!B107</f>
        <v>7665</v>
      </c>
      <c r="C58" s="18">
        <f>mem_dec!C58*mem_dec!C107</f>
        <v>260</v>
      </c>
      <c r="D58" s="18">
        <f>mem_dec!D58*mem_dec!D107</f>
        <v>0</v>
      </c>
      <c r="E58" s="30"/>
      <c r="F58" s="17">
        <f t="shared" si="2"/>
        <v>24755</v>
      </c>
    </row>
    <row r="59" spans="1:9">
      <c r="A59" s="18">
        <f>mem_dec!A59*mem_dec!A108</f>
        <v>7524</v>
      </c>
      <c r="B59" s="18">
        <f>mem_dec!B59*mem_dec!B108</f>
        <v>5214</v>
      </c>
      <c r="C59" s="18">
        <f>mem_dec!C59*mem_dec!C108</f>
        <v>20116</v>
      </c>
      <c r="D59" s="18">
        <f>mem_dec!D59*mem_dec!D108</f>
        <v>23465</v>
      </c>
      <c r="E59" s="30"/>
      <c r="F59" s="17">
        <f t="shared" si="2"/>
        <v>56319</v>
      </c>
    </row>
    <row r="60" spans="1:9">
      <c r="A60" s="18">
        <f>mem_dec!A60*mem_dec!A109</f>
        <v>23136</v>
      </c>
      <c r="B60" s="18">
        <f>mem_dec!B60*mem_dec!B109</f>
        <v>7227</v>
      </c>
      <c r="C60" s="18">
        <f>mem_dec!C60*mem_dec!C109</f>
        <v>33790</v>
      </c>
      <c r="D60" s="18">
        <f>mem_dec!D60*mem_dec!D109</f>
        <v>11092</v>
      </c>
      <c r="E60" s="31"/>
      <c r="F60" s="17">
        <f t="shared" si="2"/>
        <v>75245</v>
      </c>
    </row>
    <row r="61" spans="1:9">
      <c r="A61" s="17">
        <f>mem_dec!A61*mem_dec!A81</f>
        <v>61005</v>
      </c>
      <c r="B61" s="17">
        <f>mem_dec!B61*mem_dec!B81</f>
        <v>33327</v>
      </c>
      <c r="C61" s="17">
        <f>mem_dec!C61*mem_dec!C81</f>
        <v>5190</v>
      </c>
      <c r="D61" s="17">
        <f>mem_dec!D61*mem_dec!D81</f>
        <v>6480</v>
      </c>
      <c r="E61" s="29"/>
      <c r="F61" s="17">
        <f t="shared" si="0"/>
        <v>106002</v>
      </c>
      <c r="G61" s="20"/>
      <c r="H61" s="23">
        <v>1</v>
      </c>
      <c r="I61" s="23">
        <f>F61+F66+F71+F76</f>
        <v>289020</v>
      </c>
    </row>
    <row r="62" spans="1:9">
      <c r="A62" s="17">
        <f>mem_dec!A62*mem_dec!A82</f>
        <v>8052</v>
      </c>
      <c r="B62" s="17">
        <f>mem_dec!B62*mem_dec!B82</f>
        <v>8316</v>
      </c>
      <c r="C62" s="17">
        <f>mem_dec!C62*mem_dec!C82</f>
        <v>24846</v>
      </c>
      <c r="D62" s="17">
        <f>mem_dec!D62*mem_dec!D82</f>
        <v>14040</v>
      </c>
      <c r="E62" s="30"/>
      <c r="F62" s="17">
        <f t="shared" si="0"/>
        <v>55254</v>
      </c>
      <c r="H62" s="23">
        <v>2</v>
      </c>
      <c r="I62" s="23">
        <f>F62+F67+F72+F77</f>
        <v>223226</v>
      </c>
    </row>
    <row r="63" spans="1:9">
      <c r="A63" s="17">
        <f>mem_dec!A63*mem_dec!A83</f>
        <v>17394</v>
      </c>
      <c r="B63" s="17">
        <f>mem_dec!B63*mem_dec!B83</f>
        <v>12155</v>
      </c>
      <c r="C63" s="17">
        <f>mem_dec!C63*mem_dec!C83</f>
        <v>13260</v>
      </c>
      <c r="D63" s="17">
        <f>mem_dec!D63*mem_dec!D83</f>
        <v>11016</v>
      </c>
      <c r="E63" s="30"/>
      <c r="F63" s="17">
        <f t="shared" si="0"/>
        <v>53825</v>
      </c>
      <c r="H63" s="23">
        <v>3</v>
      </c>
      <c r="I63" s="23">
        <f>F63+F68+F73+F78</f>
        <v>301259</v>
      </c>
    </row>
    <row r="64" spans="1:9">
      <c r="A64" s="17">
        <f>mem_dec!A64*mem_dec!A84</f>
        <v>14111</v>
      </c>
      <c r="B64" s="17">
        <f>mem_dec!B64*mem_dec!B84</f>
        <v>15132</v>
      </c>
      <c r="C64" s="17">
        <f>mem_dec!C64*mem_dec!C84</f>
        <v>9815</v>
      </c>
      <c r="D64" s="17">
        <f>mem_dec!D64*mem_dec!D84</f>
        <v>270</v>
      </c>
      <c r="E64" s="30"/>
      <c r="F64" s="17">
        <f t="shared" si="0"/>
        <v>39328</v>
      </c>
      <c r="H64" s="23">
        <v>4</v>
      </c>
      <c r="I64" s="23">
        <f>F64+F69+F74+F79</f>
        <v>289150</v>
      </c>
    </row>
    <row r="65" spans="1:9">
      <c r="A65" s="17">
        <f>mem_dec!A65*mem_dec!A85</f>
        <v>10149</v>
      </c>
      <c r="B65" s="17">
        <f>mem_dec!B65*mem_dec!B85</f>
        <v>25648</v>
      </c>
      <c r="C65" s="17">
        <f>mem_dec!C65*mem_dec!C85</f>
        <v>29920</v>
      </c>
      <c r="D65" s="17">
        <f>mem_dec!D65*mem_dec!D85</f>
        <v>24633</v>
      </c>
      <c r="E65" s="30"/>
      <c r="F65" s="17">
        <f t="shared" si="0"/>
        <v>90350</v>
      </c>
      <c r="H65" s="23">
        <v>5</v>
      </c>
      <c r="I65" s="23">
        <f>F65+F70+F75+F80</f>
        <v>291274</v>
      </c>
    </row>
    <row r="66" spans="1:9">
      <c r="A66" s="18">
        <f>mem_dec!A66*mem_dec!A89</f>
        <v>19474</v>
      </c>
      <c r="B66" s="18">
        <f>mem_dec!B66*mem_dec!B89</f>
        <v>45390</v>
      </c>
      <c r="C66" s="18">
        <f>mem_dec!C66*mem_dec!C89</f>
        <v>6235</v>
      </c>
      <c r="D66" s="18">
        <f>mem_dec!D66*mem_dec!D89</f>
        <v>13800</v>
      </c>
      <c r="E66" s="30"/>
      <c r="F66" s="18">
        <f t="shared" ref="F66:F80" si="3">SUM(A66:D66)</f>
        <v>84899</v>
      </c>
      <c r="H66" s="23" t="s">
        <v>6</v>
      </c>
      <c r="I66" s="23">
        <f>SUM(I61:I65)</f>
        <v>1393929</v>
      </c>
    </row>
    <row r="67" spans="1:9">
      <c r="A67" s="18">
        <f>mem_dec!A67*mem_dec!A90</f>
        <v>4838</v>
      </c>
      <c r="B67" s="18">
        <f>mem_dec!B67*mem_dec!B90</f>
        <v>8580</v>
      </c>
      <c r="C67" s="18">
        <f>mem_dec!C67*mem_dec!C90</f>
        <v>24180</v>
      </c>
      <c r="D67" s="18">
        <f>mem_dec!D67*mem_dec!D90</f>
        <v>4351</v>
      </c>
      <c r="E67" s="30"/>
      <c r="F67" s="18">
        <f t="shared" si="3"/>
        <v>41949</v>
      </c>
    </row>
    <row r="68" spans="1:9">
      <c r="A68" s="18">
        <f>mem_dec!A68*mem_dec!A91</f>
        <v>59989</v>
      </c>
      <c r="B68" s="18">
        <f>mem_dec!B68*mem_dec!B91</f>
        <v>19513</v>
      </c>
      <c r="C68" s="18">
        <f>mem_dec!C68*mem_dec!C91</f>
        <v>42728</v>
      </c>
      <c r="D68" s="18">
        <f>mem_dec!D68*mem_dec!D91</f>
        <v>15288</v>
      </c>
      <c r="E68" s="30"/>
      <c r="F68" s="18">
        <f t="shared" si="3"/>
        <v>137518</v>
      </c>
    </row>
    <row r="69" spans="1:9">
      <c r="A69" s="18">
        <f>mem_dec!A69*mem_dec!A92</f>
        <v>3729</v>
      </c>
      <c r="B69" s="18">
        <f>mem_dec!B69*mem_dec!B92</f>
        <v>10120</v>
      </c>
      <c r="C69" s="18">
        <f>mem_dec!C69*mem_dec!C92</f>
        <v>368</v>
      </c>
      <c r="D69" s="18">
        <f>mem_dec!D69*mem_dec!D92</f>
        <v>27664</v>
      </c>
      <c r="E69" s="30"/>
      <c r="F69" s="18">
        <f t="shared" si="3"/>
        <v>41881</v>
      </c>
    </row>
    <row r="70" spans="1:9">
      <c r="A70" s="18">
        <f>mem_dec!A70*mem_dec!A93</f>
        <v>53000</v>
      </c>
      <c r="B70" s="18">
        <f>mem_dec!B70*mem_dec!B93</f>
        <v>3196</v>
      </c>
      <c r="C70" s="18">
        <f>mem_dec!C70*mem_dec!C93</f>
        <v>17940</v>
      </c>
      <c r="D70" s="18">
        <f>mem_dec!D70*mem_dec!D93</f>
        <v>0</v>
      </c>
      <c r="E70" s="30"/>
      <c r="F70" s="18">
        <f t="shared" si="3"/>
        <v>74136</v>
      </c>
    </row>
    <row r="71" spans="1:9">
      <c r="A71" s="17">
        <f>mem_dec!A71*mem_dec!A97</f>
        <v>24700</v>
      </c>
      <c r="B71" s="17">
        <f>mem_dec!B71*mem_dec!B97</f>
        <v>11480</v>
      </c>
      <c r="C71" s="17">
        <f>mem_dec!C71*mem_dec!C97</f>
        <v>2301</v>
      </c>
      <c r="D71" s="17">
        <f>mem_dec!D71*mem_dec!D97</f>
        <v>28968</v>
      </c>
      <c r="E71" s="30"/>
      <c r="F71" s="17">
        <f t="shared" si="3"/>
        <v>67449</v>
      </c>
    </row>
    <row r="72" spans="1:9">
      <c r="A72" s="17">
        <f>mem_dec!A72*mem_dec!A98</f>
        <v>3360</v>
      </c>
      <c r="B72" s="17">
        <f>mem_dec!B72*mem_dec!B98</f>
        <v>26510</v>
      </c>
      <c r="C72" s="17">
        <f>mem_dec!C72*mem_dec!C98</f>
        <v>14803</v>
      </c>
      <c r="D72" s="17">
        <f>mem_dec!D72*mem_dec!D98</f>
        <v>8600</v>
      </c>
      <c r="E72" s="30"/>
      <c r="F72" s="17">
        <f t="shared" si="3"/>
        <v>53273</v>
      </c>
    </row>
    <row r="73" spans="1:9">
      <c r="A73" s="17">
        <f>mem_dec!A73*mem_dec!A99</f>
        <v>7254</v>
      </c>
      <c r="B73" s="17">
        <f>mem_dec!B73*mem_dec!B99</f>
        <v>5950</v>
      </c>
      <c r="C73" s="17">
        <f>mem_dec!C73*mem_dec!C99</f>
        <v>102</v>
      </c>
      <c r="D73" s="17">
        <f>mem_dec!D73*mem_dec!D99</f>
        <v>38272</v>
      </c>
      <c r="E73" s="30"/>
      <c r="F73" s="17">
        <f t="shared" si="3"/>
        <v>51578</v>
      </c>
    </row>
    <row r="74" spans="1:9">
      <c r="A74" s="17">
        <f>mem_dec!A74*mem_dec!A100</f>
        <v>28841</v>
      </c>
      <c r="B74" s="17">
        <f>mem_dec!B74*mem_dec!B100</f>
        <v>17139</v>
      </c>
      <c r="C74" s="17">
        <f>mem_dec!C74*mem_dec!C100</f>
        <v>62000</v>
      </c>
      <c r="D74" s="17">
        <f>mem_dec!D74*mem_dec!D100</f>
        <v>7035</v>
      </c>
      <c r="E74" s="30"/>
      <c r="F74" s="17">
        <f t="shared" si="3"/>
        <v>115015</v>
      </c>
    </row>
    <row r="75" spans="1:9">
      <c r="A75" s="17">
        <f>mem_dec!A75*mem_dec!A101</f>
        <v>36456</v>
      </c>
      <c r="B75" s="17">
        <f>mem_dec!B75*mem_dec!B101</f>
        <v>4977</v>
      </c>
      <c r="C75" s="17">
        <f>mem_dec!C75*mem_dec!C101</f>
        <v>5640</v>
      </c>
      <c r="D75" s="17">
        <f>mem_dec!D75*mem_dec!D101</f>
        <v>11926</v>
      </c>
      <c r="E75" s="30"/>
      <c r="F75" s="17">
        <f t="shared" si="3"/>
        <v>58999</v>
      </c>
    </row>
    <row r="76" spans="1:9">
      <c r="A76" s="18">
        <f>mem_dec!A105*mem_dec!A76</f>
        <v>3120</v>
      </c>
      <c r="B76" s="18">
        <f>mem_dec!B105*mem_dec!B76</f>
        <v>17628</v>
      </c>
      <c r="C76" s="18">
        <f>mem_dec!C105*mem_dec!C76</f>
        <v>2530</v>
      </c>
      <c r="D76" s="18">
        <f>mem_dec!D105*mem_dec!D76</f>
        <v>7392</v>
      </c>
      <c r="E76" s="30"/>
      <c r="F76" s="18">
        <f t="shared" si="3"/>
        <v>30670</v>
      </c>
    </row>
    <row r="77" spans="1:9">
      <c r="A77" s="18">
        <f>mem_dec!A106*mem_dec!A77</f>
        <v>14670</v>
      </c>
      <c r="B77" s="18">
        <f>mem_dec!B106*mem_dec!B77</f>
        <v>16730</v>
      </c>
      <c r="C77" s="18">
        <f>mem_dec!C106*mem_dec!C77</f>
        <v>9250</v>
      </c>
      <c r="D77" s="18">
        <f>mem_dec!D106*mem_dec!D77</f>
        <v>32100</v>
      </c>
      <c r="E77" s="30"/>
      <c r="F77" s="18">
        <f t="shared" si="3"/>
        <v>72750</v>
      </c>
    </row>
    <row r="78" spans="1:9">
      <c r="A78" s="18">
        <f>mem_dec!A107*mem_dec!A78</f>
        <v>19030</v>
      </c>
      <c r="B78" s="18">
        <f>mem_dec!B107*mem_dec!B78</f>
        <v>21000</v>
      </c>
      <c r="C78" s="18">
        <f>mem_dec!C107*mem_dec!C78</f>
        <v>13650</v>
      </c>
      <c r="D78" s="18">
        <f>mem_dec!D107*mem_dec!D78</f>
        <v>4658</v>
      </c>
      <c r="E78" s="30"/>
      <c r="F78" s="18">
        <f t="shared" si="3"/>
        <v>58338</v>
      </c>
    </row>
    <row r="79" spans="1:9">
      <c r="A79" s="18">
        <f>mem_dec!A108*mem_dec!A79</f>
        <v>16340</v>
      </c>
      <c r="B79" s="18">
        <f>mem_dec!B108*mem_dec!B79</f>
        <v>13983</v>
      </c>
      <c r="C79" s="18">
        <f>mem_dec!C108*mem_dec!C79</f>
        <v>38948</v>
      </c>
      <c r="D79" s="18">
        <f>mem_dec!D108*mem_dec!D79</f>
        <v>23655</v>
      </c>
      <c r="E79" s="30"/>
      <c r="F79" s="18">
        <f t="shared" si="3"/>
        <v>92926</v>
      </c>
    </row>
    <row r="80" spans="1:9">
      <c r="A80" s="18">
        <f>mem_dec!A109*mem_dec!A80</f>
        <v>4338</v>
      </c>
      <c r="B80" s="18">
        <f>mem_dec!B109*mem_dec!B80</f>
        <v>2673</v>
      </c>
      <c r="C80" s="18">
        <f>mem_dec!C109*mem_dec!C80</f>
        <v>47524</v>
      </c>
      <c r="D80" s="18">
        <f>mem_dec!D109*mem_dec!D80</f>
        <v>13254</v>
      </c>
      <c r="E80" s="31"/>
      <c r="F80" s="18">
        <f t="shared" si="3"/>
        <v>67789</v>
      </c>
    </row>
  </sheetData>
  <mergeCells count="4">
    <mergeCell ref="E1:E20"/>
    <mergeCell ref="E21:E40"/>
    <mergeCell ref="E41:E60"/>
    <mergeCell ref="E61:E8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9EAEA-E4F6-4C51-9D7C-5BC52030D2DC}">
  <dimension ref="A1:J80"/>
  <sheetViews>
    <sheetView topLeftCell="A18" workbookViewId="0">
      <selection activeCell="I26" sqref="I26"/>
    </sheetView>
  </sheetViews>
  <sheetFormatPr defaultRowHeight="14.25"/>
  <cols>
    <col min="5" max="5" width="9.875" bestFit="1" customWidth="1"/>
    <col min="10" max="10" width="9.875" bestFit="1" customWidth="1"/>
  </cols>
  <sheetData>
    <row r="1" spans="1:9">
      <c r="A1" s="17" t="str">
        <f>DEC2HEX(out_col0!A1)</f>
        <v>AB3</v>
      </c>
      <c r="B1" s="17" t="str">
        <f>DEC2HEX(out_col0!B1)</f>
        <v>6AEA</v>
      </c>
      <c r="C1" s="17" t="str">
        <f>DEC2HEX(out_col0!C1)</f>
        <v>2EE</v>
      </c>
      <c r="D1" s="17" t="str">
        <f>DEC2HEX(out_col0!D1)</f>
        <v>D80</v>
      </c>
      <c r="E1" s="28"/>
      <c r="F1" s="17" t="str">
        <f>DEC2HEX(out_col0!F1)</f>
        <v>860B</v>
      </c>
      <c r="H1" s="23" t="str">
        <f>DEC2HEX(out_col0!H1)</f>
        <v>1</v>
      </c>
      <c r="I1" s="23" t="str">
        <f>DEC2HEX(out_col0!I1)</f>
        <v>35BE6</v>
      </c>
    </row>
    <row r="2" spans="1:9">
      <c r="A2" s="17" t="str">
        <f>DEC2HEX(out_col0!A2)</f>
        <v>1071</v>
      </c>
      <c r="B2" s="17" t="str">
        <f>DEC2HEX(out_col0!B2)</f>
        <v>582C</v>
      </c>
      <c r="C2" s="17" t="str">
        <f>DEC2HEX(out_col0!C2)</f>
        <v>4A2C</v>
      </c>
      <c r="D2" s="17" t="str">
        <f>DEC2HEX(out_col0!D2)</f>
        <v>6612</v>
      </c>
      <c r="E2" s="28"/>
      <c r="F2" s="17" t="str">
        <f>DEC2HEX(out_col0!F2)</f>
        <v>118DB</v>
      </c>
      <c r="H2" s="23" t="str">
        <f>DEC2HEX(out_col0!H2)</f>
        <v>2</v>
      </c>
      <c r="I2" s="23" t="str">
        <f>DEC2HEX(out_col0!I2)</f>
        <v>4426C</v>
      </c>
    </row>
    <row r="3" spans="1:9">
      <c r="A3" s="17" t="str">
        <f>DEC2HEX(out_col0!A3)</f>
        <v>CCC</v>
      </c>
      <c r="B3" s="17" t="str">
        <f>DEC2HEX(out_col0!B3)</f>
        <v>1B12</v>
      </c>
      <c r="C3" s="17" t="str">
        <f>DEC2HEX(out_col0!C3)</f>
        <v>8A20</v>
      </c>
      <c r="D3" s="17" t="str">
        <f>DEC2HEX(out_col0!D3)</f>
        <v>4410</v>
      </c>
      <c r="E3" s="28"/>
      <c r="F3" s="17" t="str">
        <f>DEC2HEX(out_col0!F3)</f>
        <v>F60E</v>
      </c>
      <c r="H3" s="23" t="str">
        <f>DEC2HEX(out_col0!H3)</f>
        <v>3</v>
      </c>
      <c r="I3" s="23" t="str">
        <f>DEC2HEX(out_col0!I3)</f>
        <v>3FAB6</v>
      </c>
    </row>
    <row r="4" spans="1:9">
      <c r="A4" s="17" t="str">
        <f>DEC2HEX(out_col0!A4)</f>
        <v>66C</v>
      </c>
      <c r="B4" s="17" t="str">
        <f>DEC2HEX(out_col0!B4)</f>
        <v>87E4</v>
      </c>
      <c r="C4" s="17" t="str">
        <f>DEC2HEX(out_col0!C4)</f>
        <v>5EF7</v>
      </c>
      <c r="D4" s="17" t="str">
        <f>DEC2HEX(out_col0!D4)</f>
        <v>33AE</v>
      </c>
      <c r="E4" s="28"/>
      <c r="F4" s="17" t="str">
        <f>DEC2HEX(out_col0!F4)</f>
        <v>120F5</v>
      </c>
      <c r="H4" s="23" t="str">
        <f>DEC2HEX(out_col0!H4)</f>
        <v>4</v>
      </c>
      <c r="I4" s="23" t="str">
        <f>DEC2HEX(out_col0!I4)</f>
        <v>4DAE1</v>
      </c>
    </row>
    <row r="5" spans="1:9">
      <c r="A5" s="17" t="str">
        <f>DEC2HEX(out_col0!A5)</f>
        <v>C7</v>
      </c>
      <c r="B5" s="17" t="str">
        <f>DEC2HEX(out_col0!B5)</f>
        <v>C860</v>
      </c>
      <c r="C5" s="17" t="str">
        <f>DEC2HEX(out_col0!C5)</f>
        <v>26C8</v>
      </c>
      <c r="D5" s="17" t="str">
        <f>DEC2HEX(out_col0!D5)</f>
        <v>42F0</v>
      </c>
      <c r="E5" s="28"/>
      <c r="F5" s="17" t="str">
        <f>DEC2HEX(out_col0!F5)</f>
        <v>132DF</v>
      </c>
      <c r="H5" s="23" t="str">
        <f>DEC2HEX(out_col0!H5)</f>
        <v>5</v>
      </c>
      <c r="I5" s="23" t="str">
        <f>DEC2HEX(out_col0!I5)</f>
        <v>4BB41</v>
      </c>
    </row>
    <row r="6" spans="1:9">
      <c r="A6" s="18" t="str">
        <f>DEC2HEX(out_col0!A6)</f>
        <v>8C70</v>
      </c>
      <c r="B6" s="18" t="str">
        <f>DEC2HEX(out_col0!B6)</f>
        <v>AF50</v>
      </c>
      <c r="C6" s="18" t="str">
        <f>DEC2HEX(out_col0!C6)</f>
        <v>25F6</v>
      </c>
      <c r="D6" s="18" t="str">
        <f>DEC2HEX(out_col0!D6)</f>
        <v>C94</v>
      </c>
      <c r="E6" s="28"/>
      <c r="F6" s="18" t="str">
        <f>DEC2HEX(out_col0!F6)</f>
        <v>16E4A</v>
      </c>
      <c r="H6" s="23" t="s">
        <v>6</v>
      </c>
      <c r="I6" s="23" t="str">
        <f>DEC2HEX(out_col0!I6)</f>
        <v>152F2A</v>
      </c>
    </row>
    <row r="7" spans="1:9">
      <c r="A7" s="18" t="str">
        <f>DEC2HEX(out_col0!A7)</f>
        <v>24AD</v>
      </c>
      <c r="B7" s="18" t="str">
        <f>DEC2HEX(out_col0!B7)</f>
        <v>7D78</v>
      </c>
      <c r="C7" s="18" t="str">
        <f>DEC2HEX(out_col0!C7)</f>
        <v>60E4</v>
      </c>
      <c r="D7" s="18" t="str">
        <f>DEC2HEX(out_col0!D7)</f>
        <v>7CB</v>
      </c>
      <c r="E7" s="28"/>
      <c r="F7" s="18" t="str">
        <f>DEC2HEX(out_col0!F7)</f>
        <v>10AD4</v>
      </c>
    </row>
    <row r="8" spans="1:9">
      <c r="A8" s="18" t="str">
        <f>DEC2HEX(out_col0!A8)</f>
        <v>7B3C</v>
      </c>
      <c r="B8" s="18" t="str">
        <f>DEC2HEX(out_col0!B8)</f>
        <v>2DFB</v>
      </c>
      <c r="C8" s="18" t="str">
        <f>DEC2HEX(out_col0!C8)</f>
        <v>A18C</v>
      </c>
      <c r="D8" s="18" t="str">
        <f>DEC2HEX(out_col0!D8)</f>
        <v>1332</v>
      </c>
      <c r="E8" s="28"/>
      <c r="F8" s="18" t="str">
        <f>DEC2HEX(out_col0!F8)</f>
        <v>15DF5</v>
      </c>
    </row>
    <row r="9" spans="1:9">
      <c r="A9" s="18" t="str">
        <f>DEC2HEX(out_col0!A9)</f>
        <v>12FB</v>
      </c>
      <c r="B9" s="18" t="str">
        <f>DEC2HEX(out_col0!B9)</f>
        <v>3624</v>
      </c>
      <c r="C9" s="18" t="str">
        <f>DEC2HEX(out_col0!C9)</f>
        <v>33C0</v>
      </c>
      <c r="D9" s="18" t="str">
        <f>DEC2HEX(out_col0!D9)</f>
        <v>39AB</v>
      </c>
      <c r="E9" s="28"/>
      <c r="F9" s="18" t="str">
        <f>DEC2HEX(out_col0!F9)</f>
        <v>B68A</v>
      </c>
    </row>
    <row r="10" spans="1:9">
      <c r="A10" s="18" t="str">
        <f>DEC2HEX(out_col0!A10)</f>
        <v>9018</v>
      </c>
      <c r="B10" s="18" t="str">
        <f>DEC2HEX(out_col0!B10)</f>
        <v>70A</v>
      </c>
      <c r="C10" s="18" t="str">
        <f>DEC2HEX(out_col0!C10)</f>
        <v>4C8C</v>
      </c>
      <c r="D10" s="18" t="str">
        <f>DEC2HEX(out_col0!D10)</f>
        <v>3250</v>
      </c>
      <c r="E10" s="28"/>
      <c r="F10" s="18" t="str">
        <f>DEC2HEX(out_col0!F10)</f>
        <v>115FE</v>
      </c>
    </row>
    <row r="11" spans="1:9">
      <c r="A11" s="17" t="str">
        <f>DEC2HEX(out_col0!A11)</f>
        <v>9A60</v>
      </c>
      <c r="B11" s="17" t="str">
        <f>DEC2HEX(out_col0!B11)</f>
        <v>35D0</v>
      </c>
      <c r="C11" s="17" t="str">
        <f>DEC2HEX(out_col0!C11)</f>
        <v>C09</v>
      </c>
      <c r="D11" s="17" t="str">
        <f>DEC2HEX(out_col0!D11)</f>
        <v>22F2</v>
      </c>
      <c r="E11" s="28"/>
      <c r="F11" s="17" t="str">
        <f>DEC2HEX(out_col0!F11)</f>
        <v>FF2B</v>
      </c>
    </row>
    <row r="12" spans="1:9">
      <c r="A12" s="17" t="str">
        <f>DEC2HEX(out_col0!A12)</f>
        <v>F30</v>
      </c>
      <c r="B12" s="17" t="str">
        <f>DEC2HEX(out_col0!B12)</f>
        <v>61E8</v>
      </c>
      <c r="C12" s="17" t="str">
        <f>DEC2HEX(out_col0!C12)</f>
        <v>1707</v>
      </c>
      <c r="D12" s="17" t="str">
        <f>DEC2HEX(out_col0!D12)</f>
        <v>18DC</v>
      </c>
      <c r="E12" s="28"/>
      <c r="F12" s="17" t="str">
        <f>DEC2HEX(out_col0!F12)</f>
        <v>A0FB</v>
      </c>
    </row>
    <row r="13" spans="1:9">
      <c r="A13" s="17" t="str">
        <f>DEC2HEX(out_col0!A13)</f>
        <v>4DBE</v>
      </c>
      <c r="B13" s="17" t="str">
        <f>DEC2HEX(out_col0!B13)</f>
        <v>1650</v>
      </c>
      <c r="C13" s="17" t="str">
        <f>DEC2HEX(out_col0!C13)</f>
        <v>A1</v>
      </c>
      <c r="D13" s="17" t="str">
        <f>DEC2HEX(out_col0!D13)</f>
        <v>9240</v>
      </c>
      <c r="E13" s="28"/>
      <c r="F13" s="17" t="str">
        <f>DEC2HEX(out_col0!F13)</f>
        <v>F6EF</v>
      </c>
    </row>
    <row r="14" spans="1:9">
      <c r="A14" s="17" t="str">
        <f>DEC2HEX(out_col0!A14)</f>
        <v>78DE</v>
      </c>
      <c r="B14" s="17" t="str">
        <f>DEC2HEX(out_col0!B14)</f>
        <v>21A5</v>
      </c>
      <c r="C14" s="17" t="str">
        <f>DEC2HEX(out_col0!C14)</f>
        <v>5DF8</v>
      </c>
      <c r="D14" s="17" t="str">
        <f>DEC2HEX(out_col0!D14)</f>
        <v>A41</v>
      </c>
      <c r="E14" s="28"/>
      <c r="F14" s="17" t="str">
        <f>DEC2HEX(out_col0!F14)</f>
        <v>102BC</v>
      </c>
    </row>
    <row r="15" spans="1:9">
      <c r="A15" s="17" t="str">
        <f>DEC2HEX(out_col0!A15)</f>
        <v>4CC8</v>
      </c>
      <c r="B15" s="17" t="str">
        <f>DEC2HEX(out_col0!B15)</f>
        <v>13DA</v>
      </c>
      <c r="C15" s="17" t="str">
        <f>DEC2HEX(out_col0!C15)</f>
        <v>54D2</v>
      </c>
      <c r="D15" s="17" t="str">
        <f>DEC2HEX(out_col0!D15)</f>
        <v>2906</v>
      </c>
      <c r="E15" s="28"/>
      <c r="F15" s="17" t="str">
        <f>DEC2HEX(out_col0!F15)</f>
        <v>DE7A</v>
      </c>
    </row>
    <row r="16" spans="1:9">
      <c r="A16" s="18" t="str">
        <f>DEC2HEX(out_col0!A16)</f>
        <v>A01</v>
      </c>
      <c r="B16" s="18" t="str">
        <f>DEC2HEX(out_col0!B16)</f>
        <v>30C0</v>
      </c>
      <c r="C16" s="18" t="str">
        <f>DEC2HEX(out_col0!C16)</f>
        <v>8E5</v>
      </c>
      <c r="D16" s="18" t="str">
        <f>DEC2HEX(out_col0!D16)</f>
        <v>24C0</v>
      </c>
      <c r="E16" s="28"/>
      <c r="F16" s="18" t="str">
        <f>DEC2HEX(out_col0!F16)</f>
        <v>6866</v>
      </c>
    </row>
    <row r="17" spans="1:10">
      <c r="A17" s="18" t="str">
        <f>DEC2HEX(out_col0!A17)</f>
        <v>3A5C</v>
      </c>
      <c r="B17" s="18" t="str">
        <f>DEC2HEX(out_col0!B17)</f>
        <v>8670</v>
      </c>
      <c r="C17" s="18" t="str">
        <f>DEC2HEX(out_col0!C17)</f>
        <v>1848</v>
      </c>
      <c r="D17" s="18" t="str">
        <f>DEC2HEX(out_col0!D17)</f>
        <v>A4AE</v>
      </c>
      <c r="E17" s="28"/>
      <c r="F17" s="18" t="str">
        <f>DEC2HEX(out_col0!F17)</f>
        <v>17DC2</v>
      </c>
    </row>
    <row r="18" spans="1:10">
      <c r="A18" s="18" t="str">
        <f>DEC2HEX(out_col0!A18)</f>
        <v>B9A</v>
      </c>
      <c r="B18" s="18" t="str">
        <f>DEC2HEX(out_col0!B18)</f>
        <v>619E</v>
      </c>
      <c r="C18" s="18" t="str">
        <f>DEC2HEX(out_col0!C18)</f>
        <v>2E36</v>
      </c>
      <c r="D18" s="18" t="str">
        <f>DEC2HEX(out_col0!D18)</f>
        <v>1456</v>
      </c>
      <c r="E18" s="28"/>
      <c r="F18" s="18" t="str">
        <f>DEC2HEX(out_col0!F18)</f>
        <v>AFC4</v>
      </c>
    </row>
    <row r="19" spans="1:10">
      <c r="A19" s="18" t="str">
        <f>DEC2HEX(out_col0!A19)</f>
        <v>4494</v>
      </c>
      <c r="B19" s="18" t="str">
        <f>DEC2HEX(out_col0!B19)</f>
        <v>A6A4</v>
      </c>
      <c r="C19" s="18" t="str">
        <f>DEC2HEX(out_col0!C19)</f>
        <v>BE98</v>
      </c>
      <c r="D19" s="18" t="str">
        <f>DEC2HEX(out_col0!D19)</f>
        <v>56D6</v>
      </c>
      <c r="E19" s="28"/>
      <c r="F19" s="18" t="str">
        <f>DEC2HEX(out_col0!F19)</f>
        <v>200A6</v>
      </c>
    </row>
    <row r="20" spans="1:10">
      <c r="A20" s="18" t="str">
        <f>DEC2HEX(out_col0!A20)</f>
        <v>C00C</v>
      </c>
      <c r="B20" s="18" t="str">
        <f>DEC2HEX(out_col0!B20)</f>
        <v>1D22</v>
      </c>
      <c r="C20" s="18" t="str">
        <f>DEC2HEX(out_col0!C20)</f>
        <v>647C</v>
      </c>
      <c r="D20" s="18" t="str">
        <f>DEC2HEX(out_col0!D20)</f>
        <v>5240</v>
      </c>
      <c r="E20" s="28"/>
      <c r="F20" s="18" t="str">
        <f>DEC2HEX(out_col0!F20)</f>
        <v>193EA</v>
      </c>
    </row>
    <row r="21" spans="1:10">
      <c r="A21" s="17" t="str">
        <f>DEC2HEX(out_col0!A21)</f>
        <v>AE1B</v>
      </c>
      <c r="B21" s="17" t="str">
        <f>DEC2HEX(out_col0!B21)</f>
        <v>7FAB</v>
      </c>
      <c r="C21" s="17" t="str">
        <f>DEC2HEX(out_col0!C21)</f>
        <v>10A4</v>
      </c>
      <c r="D21" s="17" t="str">
        <f>DEC2HEX(out_col0!D21)</f>
        <v>AB48</v>
      </c>
      <c r="E21" s="29"/>
      <c r="F21" s="17" t="str">
        <f>DEC2HEX(out_col0!F21)</f>
        <v>1E9B2</v>
      </c>
      <c r="G21" s="20"/>
      <c r="H21" s="23" t="str">
        <f>DEC2HEX(out_col0!H21)</f>
        <v>1</v>
      </c>
      <c r="I21" s="23" t="str">
        <f>DEC2HEX(out_col0!I21)</f>
        <v>476BC</v>
      </c>
    </row>
    <row r="22" spans="1:10">
      <c r="A22" s="17" t="str">
        <f>DEC2HEX(out_col0!A22)</f>
        <v>3BCF</v>
      </c>
      <c r="B22" s="17" t="str">
        <f>DEC2HEX(out_col0!B22)</f>
        <v>6408</v>
      </c>
      <c r="C22" s="17" t="str">
        <f>DEC2HEX(out_col0!C22)</f>
        <v>2D5F</v>
      </c>
      <c r="D22" s="17" t="str">
        <f>DEC2HEX(out_col0!D22)</f>
        <v>54CE</v>
      </c>
      <c r="E22" s="30"/>
      <c r="F22" s="17" t="str">
        <f>DEC2HEX(out_col0!F22)</f>
        <v>12204</v>
      </c>
      <c r="H22" s="23" t="str">
        <f>DEC2HEX(out_col0!H22)</f>
        <v>2</v>
      </c>
      <c r="I22" s="23" t="str">
        <f>DEC2HEX(out_col0!I22)</f>
        <v>4245C</v>
      </c>
      <c r="J22" s="23" t="str">
        <f>DEC2HEX(out_col0!J22)</f>
        <v>89B18</v>
      </c>
    </row>
    <row r="23" spans="1:10">
      <c r="A23" s="17" t="str">
        <f>DEC2HEX(out_col0!A23)</f>
        <v>42BA</v>
      </c>
      <c r="B23" s="17" t="str">
        <f>DEC2HEX(out_col0!B23)</f>
        <v>2C42</v>
      </c>
      <c r="C23" s="17" t="str">
        <f>DEC2HEX(out_col0!C23)</f>
        <v>97F0</v>
      </c>
      <c r="D23" s="17" t="str">
        <f>DEC2HEX(out_col0!D23)</f>
        <v>2520</v>
      </c>
      <c r="E23" s="30"/>
      <c r="F23" s="17" t="str">
        <f>DEC2HEX(out_col0!F23)</f>
        <v>12C0C</v>
      </c>
      <c r="H23" s="23" t="str">
        <f>DEC2HEX(out_col0!H23)</f>
        <v>3</v>
      </c>
      <c r="I23" s="23" t="str">
        <f>DEC2HEX(out_col0!I23)</f>
        <v>516EF</v>
      </c>
      <c r="J23" s="23" t="str">
        <f>DEC2HEX(out_col0!J23)</f>
        <v>DB207</v>
      </c>
    </row>
    <row r="24" spans="1:10">
      <c r="A24" s="17" t="str">
        <f>DEC2HEX(out_col0!A24)</f>
        <v>61EF</v>
      </c>
      <c r="B24" s="17" t="str">
        <f>DEC2HEX(out_col0!B24)</f>
        <v>46B0</v>
      </c>
      <c r="C24" s="17" t="str">
        <f>DEC2HEX(out_col0!C24)</f>
        <v>77BD</v>
      </c>
      <c r="D24" s="17" t="str">
        <f>DEC2HEX(out_col0!D24)</f>
        <v>1A04</v>
      </c>
      <c r="E24" s="30"/>
      <c r="F24" s="17" t="str">
        <f>DEC2HEX(out_col0!F24)</f>
        <v>13A60</v>
      </c>
      <c r="H24" s="23" t="str">
        <f>DEC2HEX(out_col0!H24)</f>
        <v>4</v>
      </c>
      <c r="I24" s="23" t="str">
        <f>DEC2HEX(out_col0!I24)</f>
        <v>47122</v>
      </c>
      <c r="J24" s="23" t="str">
        <f>DEC2HEX(out_col0!J24)</f>
        <v>122329</v>
      </c>
    </row>
    <row r="25" spans="1:10">
      <c r="A25" s="17" t="str">
        <f>DEC2HEX(out_col0!A25)</f>
        <v>92EB</v>
      </c>
      <c r="B25" s="17" t="str">
        <f>DEC2HEX(out_col0!B25)</f>
        <v>1CA0</v>
      </c>
      <c r="C25" s="17" t="str">
        <f>DEC2HEX(out_col0!C25)</f>
        <v>3520</v>
      </c>
      <c r="D25" s="17" t="str">
        <f>DEC2HEX(out_col0!D25)</f>
        <v>6215</v>
      </c>
      <c r="E25" s="30"/>
      <c r="F25" s="17" t="str">
        <f>DEC2HEX(out_col0!F25)</f>
        <v>146C0</v>
      </c>
      <c r="H25" s="23" t="str">
        <f>DEC2HEX(out_col0!H25)</f>
        <v>5</v>
      </c>
      <c r="I25" s="23" t="str">
        <f>DEC2HEX(out_col0!I25)</f>
        <v>535E8</v>
      </c>
      <c r="J25" s="23" t="str">
        <f>DEC2HEX(out_col0!J25)</f>
        <v>175911</v>
      </c>
    </row>
    <row r="26" spans="1:10">
      <c r="A26" s="18" t="str">
        <f>DEC2HEX(out_col0!A26)</f>
        <v>10B8</v>
      </c>
      <c r="B26" s="18" t="str">
        <f>DEC2HEX(out_col0!B26)</f>
        <v>42BD</v>
      </c>
      <c r="C26" s="18" t="str">
        <f>DEC2HEX(out_col0!C26)</f>
        <v>387</v>
      </c>
      <c r="D26" s="18" t="str">
        <f>DEC2HEX(out_col0!D26)</f>
        <v>90A6</v>
      </c>
      <c r="E26" s="30"/>
      <c r="F26" s="18" t="str">
        <f>DEC2HEX(out_col0!F26)</f>
        <v>E7A2</v>
      </c>
      <c r="H26" s="23" t="s">
        <v>6</v>
      </c>
      <c r="I26" s="26" t="str">
        <f>DEC2HEX(out_col0!I26)</f>
        <v>175911</v>
      </c>
    </row>
    <row r="27" spans="1:10">
      <c r="A27" s="18" t="str">
        <f>DEC2HEX(out_col0!A27)</f>
        <v>2246</v>
      </c>
      <c r="B27" s="18" t="str">
        <f>DEC2HEX(out_col0!B27)</f>
        <v>82A0</v>
      </c>
      <c r="C27" s="18" t="str">
        <f>DEC2HEX(out_col0!C27)</f>
        <v>81CC</v>
      </c>
      <c r="D27" s="18" t="str">
        <f>DEC2HEX(out_col0!D27)</f>
        <v>26</v>
      </c>
      <c r="E27" s="30"/>
      <c r="F27" s="18" t="str">
        <f>DEC2HEX(out_col0!F27)</f>
        <v>126D8</v>
      </c>
    </row>
    <row r="28" spans="1:10">
      <c r="A28" s="18" t="str">
        <f>DEC2HEX(out_col0!A28)</f>
        <v>B6FC</v>
      </c>
      <c r="B28" s="18" t="str">
        <f>DEC2HEX(out_col0!B28)</f>
        <v>2F86</v>
      </c>
      <c r="C28" s="18" t="str">
        <f>DEC2HEX(out_col0!C28)</f>
        <v>4734</v>
      </c>
      <c r="D28" s="18" t="str">
        <f>DEC2HEX(out_col0!D28)</f>
        <v>3169</v>
      </c>
      <c r="E28" s="30"/>
      <c r="F28" s="18" t="str">
        <f>DEC2HEX(out_col0!F28)</f>
        <v>15F1F</v>
      </c>
    </row>
    <row r="29" spans="1:10">
      <c r="A29" s="18" t="str">
        <f>DEC2HEX(out_col0!A29)</f>
        <v>5613</v>
      </c>
      <c r="B29" s="18" t="str">
        <f>DEC2HEX(out_col0!B29)</f>
        <v>92F4</v>
      </c>
      <c r="C29" s="18" t="str">
        <f>DEC2HEX(out_col0!C29)</f>
        <v>7E8</v>
      </c>
      <c r="D29" s="18" t="str">
        <f>DEC2HEX(out_col0!D29)</f>
        <v>4C5F</v>
      </c>
      <c r="E29" s="30"/>
      <c r="F29" s="18" t="str">
        <f>DEC2HEX(out_col0!F29)</f>
        <v>13D4E</v>
      </c>
    </row>
    <row r="30" spans="1:10">
      <c r="A30" s="18" t="str">
        <f>DEC2HEX(out_col0!A30)</f>
        <v>B55C</v>
      </c>
      <c r="B30" s="18" t="str">
        <f>DEC2HEX(out_col0!B30)</f>
        <v>F13</v>
      </c>
      <c r="C30" s="18" t="str">
        <f>DEC2HEX(out_col0!C30)</f>
        <v>26D0</v>
      </c>
      <c r="D30" s="18" t="str">
        <f>DEC2HEX(out_col0!D30)</f>
        <v>18F0</v>
      </c>
      <c r="E30" s="30"/>
      <c r="F30" s="18" t="str">
        <f>DEC2HEX(out_col0!F30)</f>
        <v>1042F</v>
      </c>
    </row>
    <row r="31" spans="1:10">
      <c r="A31" s="17" t="str">
        <f>DEC2HEX(out_col0!A31)</f>
        <v>2698</v>
      </c>
      <c r="B31" s="17" t="str">
        <f>DEC2HEX(out_col0!B31)</f>
        <v>1480</v>
      </c>
      <c r="C31" s="17" t="str">
        <f>DEC2HEX(out_col0!C31)</f>
        <v>1839</v>
      </c>
      <c r="D31" s="17" t="str">
        <f>DEC2HEX(out_col0!D31)</f>
        <v>3615</v>
      </c>
      <c r="E31" s="30"/>
      <c r="F31" s="17" t="str">
        <f>DEC2HEX(out_col0!F31)</f>
        <v>8966</v>
      </c>
    </row>
    <row r="32" spans="1:10">
      <c r="A32" s="17" t="str">
        <f>DEC2HEX(out_col0!A32)</f>
        <v>6F0</v>
      </c>
      <c r="B32" s="17" t="str">
        <f>DEC2HEX(out_col0!B32)</f>
        <v>E00E</v>
      </c>
      <c r="C32" s="17" t="str">
        <f>DEC2HEX(out_col0!C32)</f>
        <v>26E4</v>
      </c>
      <c r="D32" s="17" t="str">
        <f>DEC2HEX(out_col0!D32)</f>
        <v>4330</v>
      </c>
      <c r="E32" s="30"/>
      <c r="F32" s="17" t="str">
        <f>DEC2HEX(out_col0!F32)</f>
        <v>15112</v>
      </c>
    </row>
    <row r="33" spans="1:9">
      <c r="A33" s="17" t="str">
        <f>DEC2HEX(out_col0!A33)</f>
        <v>1D10</v>
      </c>
      <c r="B33" s="17" t="str">
        <f>DEC2HEX(out_col0!B33)</f>
        <v>CF52</v>
      </c>
      <c r="C33" s="17" t="str">
        <f>DEC2HEX(out_col0!C33)</f>
        <v>61</v>
      </c>
      <c r="D33" s="17" t="str">
        <f>DEC2HEX(out_col0!D33)</f>
        <v>5620</v>
      </c>
      <c r="E33" s="30"/>
      <c r="F33" s="17" t="str">
        <f>DEC2HEX(out_col0!F33)</f>
        <v>142E3</v>
      </c>
    </row>
    <row r="34" spans="1:9">
      <c r="A34" s="17" t="str">
        <f>DEC2HEX(out_col0!A34)</f>
        <v>23D</v>
      </c>
      <c r="B34" s="17" t="str">
        <f>DEC2HEX(out_col0!B34)</f>
        <v>4FDD</v>
      </c>
      <c r="C34" s="17" t="str">
        <f>DEC2HEX(out_col0!C34)</f>
        <v>2AA0</v>
      </c>
      <c r="D34" s="17" t="str">
        <f>DEC2HEX(out_col0!D34)</f>
        <v>1419</v>
      </c>
      <c r="E34" s="30"/>
      <c r="F34" s="17" t="str">
        <f>DEC2HEX(out_col0!F34)</f>
        <v>90D3</v>
      </c>
    </row>
    <row r="35" spans="1:9">
      <c r="A35" s="17" t="str">
        <f>DEC2HEX(out_col0!A35)</f>
        <v>5208</v>
      </c>
      <c r="B35" s="17" t="str">
        <f>DEC2HEX(out_col0!B35)</f>
        <v>DC8</v>
      </c>
      <c r="C35" s="17" t="str">
        <f>DEC2HEX(out_col0!C35)</f>
        <v>3078</v>
      </c>
      <c r="D35" s="17" t="str">
        <f>DEC2HEX(out_col0!D35)</f>
        <v>9846</v>
      </c>
      <c r="E35" s="30"/>
      <c r="F35" s="17" t="str">
        <f>DEC2HEX(out_col0!F35)</f>
        <v>1288E</v>
      </c>
    </row>
    <row r="36" spans="1:9">
      <c r="A36" s="18" t="str">
        <f>DEC2HEX(out_col0!A36)</f>
        <v>71C</v>
      </c>
      <c r="B36" s="18" t="str">
        <f>DEC2HEX(out_col0!B36)</f>
        <v>7158</v>
      </c>
      <c r="C36" s="18" t="str">
        <f>DEC2HEX(out_col0!C36)</f>
        <v>258E</v>
      </c>
      <c r="D36" s="18" t="str">
        <f>DEC2HEX(out_col0!D36)</f>
        <v>7E00</v>
      </c>
      <c r="E36" s="30"/>
      <c r="F36" s="18" t="str">
        <f>DEC2HEX(out_col0!F36)</f>
        <v>11C02</v>
      </c>
    </row>
    <row r="37" spans="1:9">
      <c r="A37" s="18" t="str">
        <f>DEC2HEX(out_col0!A37)</f>
        <v>1356</v>
      </c>
      <c r="B37" s="18" t="str">
        <f>DEC2HEX(out_col0!B37)</f>
        <v>3626</v>
      </c>
      <c r="C37" s="18" t="str">
        <f>DEC2HEX(out_col0!C37)</f>
        <v>3E70</v>
      </c>
      <c r="D37" s="18" t="str">
        <f>DEC2HEX(out_col0!D37)</f>
        <v>282</v>
      </c>
      <c r="E37" s="30"/>
      <c r="F37" s="18" t="str">
        <f>DEC2HEX(out_col0!F37)</f>
        <v>8A6E</v>
      </c>
    </row>
    <row r="38" spans="1:9">
      <c r="A38" s="18" t="str">
        <f>DEC2HEX(out_col0!A38)</f>
        <v>5D3E</v>
      </c>
      <c r="B38" s="18" t="str">
        <f>DEC2HEX(out_col0!B38)</f>
        <v>6342</v>
      </c>
      <c r="C38" s="18" t="str">
        <f>DEC2HEX(out_col0!C38)</f>
        <v>334A</v>
      </c>
      <c r="D38" s="18" t="str">
        <f>DEC2HEX(out_col0!D38)</f>
        <v>5517</v>
      </c>
      <c r="E38" s="30"/>
      <c r="F38" s="18" t="str">
        <f>DEC2HEX(out_col0!F38)</f>
        <v>148E1</v>
      </c>
    </row>
    <row r="39" spans="1:9">
      <c r="A39" s="18" t="str">
        <f>DEC2HEX(out_col0!A39)</f>
        <v>26E4</v>
      </c>
      <c r="B39" s="18" t="str">
        <f>DEC2HEX(out_col0!B39)</f>
        <v>9246</v>
      </c>
      <c r="C39" s="18" t="str">
        <f>DEC2HEX(out_col0!C39)</f>
        <v>6954</v>
      </c>
      <c r="D39" s="18" t="str">
        <f>DEC2HEX(out_col0!D39)</f>
        <v>4623</v>
      </c>
      <c r="E39" s="30"/>
      <c r="F39" s="18" t="str">
        <f>DEC2HEX(out_col0!F39)</f>
        <v>168A1</v>
      </c>
    </row>
    <row r="40" spans="1:9">
      <c r="A40" s="18" t="str">
        <f>DEC2HEX(out_col0!A40)</f>
        <v>B5B1</v>
      </c>
      <c r="B40" s="18" t="str">
        <f>DEC2HEX(out_col0!B40)</f>
        <v>203A</v>
      </c>
      <c r="C40" s="18" t="str">
        <f>DEC2HEX(out_col0!C40)</f>
        <v>9AFC</v>
      </c>
      <c r="D40" s="18" t="str">
        <f>DEC2HEX(out_col0!D40)</f>
        <v>5184</v>
      </c>
      <c r="E40" s="31"/>
      <c r="F40" s="18" t="str">
        <f>DEC2HEX(out_col0!F40)</f>
        <v>1C26B</v>
      </c>
    </row>
    <row r="41" spans="1:9">
      <c r="A41" s="17" t="str">
        <f>DEC2HEX(out_col0!A41)</f>
        <v>B00D</v>
      </c>
      <c r="B41" s="17" t="str">
        <f>DEC2HEX(out_col0!B41)</f>
        <v>84B3</v>
      </c>
      <c r="C41" s="17" t="str">
        <f>DEC2HEX(out_col0!C41)</f>
        <v>1D88</v>
      </c>
      <c r="D41" s="17" t="str">
        <f>DEC2HEX(out_col0!D41)</f>
        <v>92D0</v>
      </c>
      <c r="E41" s="29"/>
      <c r="F41" s="17" t="str">
        <f>DEC2HEX(out_col0!F41)</f>
        <v>1E518</v>
      </c>
      <c r="G41" s="20"/>
      <c r="H41" s="23" t="str">
        <f>DEC2HEX(out_col0!H41)</f>
        <v>1</v>
      </c>
      <c r="I41" s="23" t="str">
        <f>DEC2HEX(out_col0!I41)</f>
        <v>70FCC</v>
      </c>
    </row>
    <row r="42" spans="1:9">
      <c r="A42" s="17" t="str">
        <f>DEC2HEX(out_col0!A42)</f>
        <v>763</v>
      </c>
      <c r="B42" s="17" t="str">
        <f>DEC2HEX(out_col0!B42)</f>
        <v>4AC4</v>
      </c>
      <c r="C42" s="17" t="str">
        <f>DEC2HEX(out_col0!C42)</f>
        <v>5667</v>
      </c>
      <c r="D42" s="17" t="str">
        <f>DEC2HEX(out_col0!D42)</f>
        <v>344E</v>
      </c>
      <c r="E42" s="30"/>
      <c r="F42" s="17" t="str">
        <f>DEC2HEX(out_col0!F42)</f>
        <v>DCDC</v>
      </c>
      <c r="H42" s="23" t="str">
        <f>DEC2HEX(out_col0!H42)</f>
        <v>2</v>
      </c>
      <c r="I42" s="23" t="str">
        <f>DEC2HEX(out_col0!I42)</f>
        <v>3BF20</v>
      </c>
    </row>
    <row r="43" spans="1:9">
      <c r="A43" s="17" t="str">
        <f>DEC2HEX(out_col0!A43)</f>
        <v>36D8</v>
      </c>
      <c r="B43" s="17" t="str">
        <f>DEC2HEX(out_col0!B43)</f>
        <v>898</v>
      </c>
      <c r="C43" s="17" t="str">
        <f>DEC2HEX(out_col0!C43)</f>
        <v>D53B</v>
      </c>
      <c r="D43" s="17" t="str">
        <f>DEC2HEX(out_col0!D43)</f>
        <v>26D0</v>
      </c>
      <c r="E43" s="30"/>
      <c r="F43" s="17" t="str">
        <f>DEC2HEX(out_col0!F43)</f>
        <v>13B7B</v>
      </c>
      <c r="H43" s="23" t="str">
        <f>DEC2HEX(out_col0!H43)</f>
        <v>3</v>
      </c>
      <c r="I43" s="23" t="str">
        <f>DEC2HEX(out_col0!I43)</f>
        <v>3CE6A</v>
      </c>
    </row>
    <row r="44" spans="1:9">
      <c r="A44" s="17" t="str">
        <f>DEC2HEX(out_col0!A44)</f>
        <v>25FF</v>
      </c>
      <c r="B44" s="17" t="str">
        <f>DEC2HEX(out_col0!B44)</f>
        <v>18FC</v>
      </c>
      <c r="C44" s="17" t="str">
        <f>DEC2HEX(out_col0!C44)</f>
        <v>4F0A</v>
      </c>
      <c r="D44" s="17" t="str">
        <f>DEC2HEX(out_col0!D44)</f>
        <v>28C8</v>
      </c>
      <c r="E44" s="30"/>
      <c r="F44" s="17" t="str">
        <f>DEC2HEX(out_col0!F44)</f>
        <v>B6CD</v>
      </c>
      <c r="H44" s="23" t="str">
        <f>DEC2HEX(out_col0!H44)</f>
        <v>4</v>
      </c>
      <c r="I44" s="23" t="str">
        <f>DEC2HEX(out_col0!I44)</f>
        <v>2FD97</v>
      </c>
    </row>
    <row r="45" spans="1:9">
      <c r="A45" s="17" t="str">
        <f>DEC2HEX(out_col0!A45)</f>
        <v>9DCD</v>
      </c>
      <c r="B45" s="17" t="str">
        <f>DEC2HEX(out_col0!B45)</f>
        <v>90EA</v>
      </c>
      <c r="C45" s="17" t="str">
        <f>DEC2HEX(out_col0!C45)</f>
        <v>49D8</v>
      </c>
      <c r="D45" s="17" t="str">
        <f>DEC2HEX(out_col0!D45)</f>
        <v>594</v>
      </c>
      <c r="E45" s="30"/>
      <c r="F45" s="17" t="str">
        <f>DEC2HEX(out_col0!F45)</f>
        <v>17E23</v>
      </c>
      <c r="H45" s="23" t="str">
        <f>DEC2HEX(out_col0!H45)</f>
        <v>5</v>
      </c>
      <c r="I45" s="23" t="str">
        <f>DEC2HEX(out_col0!I45)</f>
        <v>4FF6C</v>
      </c>
    </row>
    <row r="46" spans="1:9">
      <c r="A46" s="18" t="str">
        <f>DEC2HEX(out_col0!A46)</f>
        <v>C6F4</v>
      </c>
      <c r="B46" s="18" t="str">
        <f>DEC2HEX(out_col0!B46)</f>
        <v>A758</v>
      </c>
      <c r="C46" s="18" t="str">
        <f>DEC2HEX(out_col0!C46)</f>
        <v>1703</v>
      </c>
      <c r="D46" s="18" t="str">
        <f>DEC2HEX(out_col0!D46)</f>
        <v>DA52</v>
      </c>
      <c r="E46" s="30"/>
      <c r="F46" s="18" t="str">
        <f>DEC2HEX(out_col0!F46)</f>
        <v>25FA1</v>
      </c>
      <c r="H46" s="23" t="s">
        <v>6</v>
      </c>
      <c r="I46" s="23" t="str">
        <f>DEC2HEX(out_col0!I46)</f>
        <v>169A59</v>
      </c>
    </row>
    <row r="47" spans="1:9">
      <c r="A47" s="18" t="str">
        <f>DEC2HEX(out_col0!A47)</f>
        <v>107F</v>
      </c>
      <c r="B47" s="18" t="str">
        <f>DEC2HEX(out_col0!B47)</f>
        <v>8980</v>
      </c>
      <c r="C47" s="18" t="str">
        <f>DEC2HEX(out_col0!C47)</f>
        <v>1554</v>
      </c>
      <c r="D47" s="18" t="str">
        <f>DEC2HEX(out_col0!D47)</f>
        <v>1112</v>
      </c>
      <c r="E47" s="30"/>
      <c r="F47" s="18" t="str">
        <f>DEC2HEX(out_col0!F47)</f>
        <v>C065</v>
      </c>
    </row>
    <row r="48" spans="1:9">
      <c r="A48" s="18" t="str">
        <f>DEC2HEX(out_col0!A48)</f>
        <v>2EAE</v>
      </c>
      <c r="B48" s="18" t="str">
        <f>DEC2HEX(out_col0!B48)</f>
        <v>1B77</v>
      </c>
      <c r="C48" s="18" t="str">
        <f>DEC2HEX(out_col0!C48)</f>
        <v>C1B4</v>
      </c>
      <c r="D48" s="18" t="str">
        <f>DEC2HEX(out_col0!D48)</f>
        <v>2EEC</v>
      </c>
      <c r="E48" s="30"/>
      <c r="F48" s="18" t="str">
        <f>DEC2HEX(out_col0!F48)</f>
        <v>13AC5</v>
      </c>
    </row>
    <row r="49" spans="1:9">
      <c r="A49" s="18" t="str">
        <f>DEC2HEX(out_col0!A49)</f>
        <v>199A</v>
      </c>
      <c r="B49" s="18" t="str">
        <f>DEC2HEX(out_col0!B49)</f>
        <v>3548</v>
      </c>
      <c r="C49" s="18" t="str">
        <f>DEC2HEX(out_col0!C49)</f>
        <v>1870</v>
      </c>
      <c r="D49" s="18" t="str">
        <f>DEC2HEX(out_col0!D49)</f>
        <v>6659</v>
      </c>
      <c r="E49" s="30"/>
      <c r="F49" s="18" t="str">
        <f>DEC2HEX(out_col0!F49)</f>
        <v>CDAB</v>
      </c>
    </row>
    <row r="50" spans="1:9">
      <c r="A50" s="18" t="str">
        <f>DEC2HEX(out_col0!A50)</f>
        <v>6784</v>
      </c>
      <c r="B50" s="18" t="str">
        <f>DEC2HEX(out_col0!B50)</f>
        <v>DBF</v>
      </c>
      <c r="C50" s="18" t="str">
        <f>DEC2HEX(out_col0!C50)</f>
        <v>2BAA</v>
      </c>
      <c r="D50" s="18" t="str">
        <f>DEC2HEX(out_col0!D50)</f>
        <v>67B0</v>
      </c>
      <c r="E50" s="30"/>
      <c r="F50" s="18" t="str">
        <f>DEC2HEX(out_col0!F50)</f>
        <v>1089D</v>
      </c>
    </row>
    <row r="51" spans="1:9">
      <c r="A51" s="17" t="str">
        <f>DEC2HEX(out_col0!A51)</f>
        <v>9E3C</v>
      </c>
      <c r="B51" s="17" t="str">
        <f>DEC2HEX(out_col0!B51)</f>
        <v>6160</v>
      </c>
      <c r="C51" s="17" t="str">
        <f>DEC2HEX(out_col0!C51)</f>
        <v>2664</v>
      </c>
      <c r="D51" s="17" t="str">
        <f>DEC2HEX(out_col0!D51)</f>
        <v>C1DD</v>
      </c>
      <c r="E51" s="30"/>
      <c r="F51" s="17" t="str">
        <f>DEC2HEX(out_col0!F51)</f>
        <v>1E7DD</v>
      </c>
    </row>
    <row r="52" spans="1:9">
      <c r="A52" s="17" t="str">
        <f>DEC2HEX(out_col0!A52)</f>
        <v>A90</v>
      </c>
      <c r="B52" s="17" t="str">
        <f>DEC2HEX(out_col0!B52)</f>
        <v>5C42</v>
      </c>
      <c r="C52" s="17" t="str">
        <f>DEC2HEX(out_col0!C52)</f>
        <v>5E28</v>
      </c>
      <c r="D52" s="17" t="str">
        <f>DEC2HEX(out_col0!D52)</f>
        <v>306</v>
      </c>
      <c r="E52" s="30"/>
      <c r="F52" s="17" t="str">
        <f>DEC2HEX(out_col0!F52)</f>
        <v>C800</v>
      </c>
    </row>
    <row r="53" spans="1:9">
      <c r="A53" s="17" t="str">
        <f>DEC2HEX(out_col0!A53)</f>
        <v>50A6</v>
      </c>
      <c r="B53" s="17" t="str">
        <f>DEC2HEX(out_col0!B53)</f>
        <v>36DA</v>
      </c>
      <c r="C53" s="17" t="str">
        <f>DEC2HEX(out_col0!C53)</f>
        <v>A7</v>
      </c>
      <c r="D53" s="17" t="str">
        <f>DEC2HEX(out_col0!D53)</f>
        <v>6F50</v>
      </c>
      <c r="E53" s="30"/>
      <c r="F53" s="17" t="str">
        <f>DEC2HEX(out_col0!F53)</f>
        <v>F777</v>
      </c>
    </row>
    <row r="54" spans="1:9">
      <c r="A54" s="17" t="str">
        <f>DEC2HEX(out_col0!A54)</f>
        <v>5BC5</v>
      </c>
      <c r="B54" s="17" t="str">
        <f>DEC2HEX(out_col0!B54)</f>
        <v>3351</v>
      </c>
      <c r="C54" s="17" t="str">
        <f>DEC2HEX(out_col0!C54)</f>
        <v>7C0</v>
      </c>
      <c r="D54" s="17" t="str">
        <f>DEC2HEX(out_col0!D54)</f>
        <v>64A</v>
      </c>
      <c r="E54" s="30"/>
      <c r="F54" s="17" t="str">
        <f>DEC2HEX(out_col0!F54)</f>
        <v>9D20</v>
      </c>
    </row>
    <row r="55" spans="1:9">
      <c r="A55" s="17" t="str">
        <f>DEC2HEX(out_col0!A55)</f>
        <v>8928</v>
      </c>
      <c r="B55" s="17" t="str">
        <f>DEC2HEX(out_col0!B55)</f>
        <v>13EF</v>
      </c>
      <c r="C55" s="17" t="str">
        <f>DEC2HEX(out_col0!C55)</f>
        <v>2A98</v>
      </c>
      <c r="D55" s="17" t="str">
        <f>DEC2HEX(out_col0!D55)</f>
        <v>8B10</v>
      </c>
      <c r="E55" s="30"/>
      <c r="F55" s="17" t="str">
        <f>DEC2HEX(out_col0!F55)</f>
        <v>152BF</v>
      </c>
    </row>
    <row r="56" spans="1:9">
      <c r="A56" s="18" t="str">
        <f>DEC2HEX(out_col0!A56)</f>
        <v>4AC</v>
      </c>
      <c r="B56" s="18" t="str">
        <f>DEC2HEX(out_col0!B56)</f>
        <v>22BC</v>
      </c>
      <c r="C56" s="18" t="str">
        <f>DEC2HEX(out_col0!C56)</f>
        <v>1DA6</v>
      </c>
      <c r="D56" s="18" t="str">
        <f>DEC2HEX(out_col0!D56)</f>
        <v>9E28</v>
      </c>
      <c r="E56" s="30"/>
      <c r="F56" s="18" t="str">
        <f>DEC2HEX(out_col0!F56)</f>
        <v>E336</v>
      </c>
    </row>
    <row r="57" spans="1:9">
      <c r="A57" s="18" t="str">
        <f>DEC2HEX(out_col0!A57)</f>
        <v>3E3A</v>
      </c>
      <c r="B57" s="18" t="str">
        <f>DEC2HEX(out_col0!B57)</f>
        <v>3AD1</v>
      </c>
      <c r="C57" s="18" t="str">
        <f>DEC2HEX(out_col0!C57)</f>
        <v>4482</v>
      </c>
      <c r="D57" s="18" t="str">
        <f>DEC2HEX(out_col0!D57)</f>
        <v>9C52</v>
      </c>
      <c r="E57" s="30"/>
      <c r="F57" s="18" t="str">
        <f>DEC2HEX(out_col0!F57)</f>
        <v>159DF</v>
      </c>
    </row>
    <row r="58" spans="1:9">
      <c r="A58" s="18" t="str">
        <f>DEC2HEX(out_col0!A58)</f>
        <v>41BE</v>
      </c>
      <c r="B58" s="18" t="str">
        <f>DEC2HEX(out_col0!B58)</f>
        <v>1DF1</v>
      </c>
      <c r="C58" s="18" t="str">
        <f>DEC2HEX(out_col0!C58)</f>
        <v>104</v>
      </c>
      <c r="D58" s="18" t="str">
        <f>DEC2HEX(out_col0!D58)</f>
        <v>0</v>
      </c>
      <c r="E58" s="30"/>
      <c r="F58" s="18" t="str">
        <f>DEC2HEX(out_col0!F58)</f>
        <v>60B3</v>
      </c>
    </row>
    <row r="59" spans="1:9">
      <c r="A59" s="18" t="str">
        <f>DEC2HEX(out_col0!A59)</f>
        <v>1D64</v>
      </c>
      <c r="B59" s="18" t="str">
        <f>DEC2HEX(out_col0!B59)</f>
        <v>145E</v>
      </c>
      <c r="C59" s="18" t="str">
        <f>DEC2HEX(out_col0!C59)</f>
        <v>4E94</v>
      </c>
      <c r="D59" s="18" t="str">
        <f>DEC2HEX(out_col0!D59)</f>
        <v>5BA9</v>
      </c>
      <c r="E59" s="30"/>
      <c r="F59" s="18" t="str">
        <f>DEC2HEX(out_col0!F59)</f>
        <v>DBFF</v>
      </c>
    </row>
    <row r="60" spans="1:9">
      <c r="A60" s="18" t="str">
        <f>DEC2HEX(out_col0!A60)</f>
        <v>5A60</v>
      </c>
      <c r="B60" s="18" t="str">
        <f>DEC2HEX(out_col0!B60)</f>
        <v>1C3B</v>
      </c>
      <c r="C60" s="18" t="str">
        <f>DEC2HEX(out_col0!C60)</f>
        <v>83FE</v>
      </c>
      <c r="D60" s="18" t="str">
        <f>DEC2HEX(out_col0!D60)</f>
        <v>2B54</v>
      </c>
      <c r="E60" s="31"/>
      <c r="F60" s="18" t="str">
        <f>DEC2HEX(out_col0!F60)</f>
        <v>125ED</v>
      </c>
    </row>
    <row r="61" spans="1:9">
      <c r="A61" s="17" t="str">
        <f>DEC2HEX(out_col0!A61)</f>
        <v>EE4D</v>
      </c>
      <c r="B61" s="17" t="str">
        <f>DEC2HEX(out_col0!B61)</f>
        <v>822F</v>
      </c>
      <c r="C61" s="17" t="str">
        <f>DEC2HEX(out_col0!C61)</f>
        <v>1446</v>
      </c>
      <c r="D61" s="17" t="str">
        <f>DEC2HEX(out_col0!D61)</f>
        <v>1950</v>
      </c>
      <c r="E61" s="29"/>
      <c r="F61" s="17" t="str">
        <f>DEC2HEX(out_col0!F61)</f>
        <v>19E12</v>
      </c>
      <c r="G61" s="19"/>
      <c r="H61" s="23" t="str">
        <f>DEC2HEX(out_col0!H61)</f>
        <v>1</v>
      </c>
      <c r="I61" s="23" t="str">
        <f>DEC2HEX(out_col0!I61)</f>
        <v>468FC</v>
      </c>
    </row>
    <row r="62" spans="1:9">
      <c r="A62" s="17" t="str">
        <f>DEC2HEX(out_col0!A62)</f>
        <v>1F74</v>
      </c>
      <c r="B62" s="17" t="str">
        <f>DEC2HEX(out_col0!B62)</f>
        <v>207C</v>
      </c>
      <c r="C62" s="17" t="str">
        <f>DEC2HEX(out_col0!C62)</f>
        <v>610E</v>
      </c>
      <c r="D62" s="17" t="str">
        <f>DEC2HEX(out_col0!D62)</f>
        <v>36D8</v>
      </c>
      <c r="E62" s="30"/>
      <c r="F62" s="17" t="str">
        <f>DEC2HEX(out_col0!F62)</f>
        <v>D7D6</v>
      </c>
      <c r="H62" s="23" t="str">
        <f>DEC2HEX(out_col0!H62)</f>
        <v>2</v>
      </c>
      <c r="I62" s="23" t="str">
        <f>DEC2HEX(out_col0!I62)</f>
        <v>367FA</v>
      </c>
    </row>
    <row r="63" spans="1:9">
      <c r="A63" s="17" t="str">
        <f>DEC2HEX(out_col0!A63)</f>
        <v>43F2</v>
      </c>
      <c r="B63" s="17" t="str">
        <f>DEC2HEX(out_col0!B63)</f>
        <v>2F7B</v>
      </c>
      <c r="C63" s="17" t="str">
        <f>DEC2HEX(out_col0!C63)</f>
        <v>33CC</v>
      </c>
      <c r="D63" s="17" t="str">
        <f>DEC2HEX(out_col0!D63)</f>
        <v>2B08</v>
      </c>
      <c r="E63" s="30"/>
      <c r="F63" s="17" t="str">
        <f>DEC2HEX(out_col0!F63)</f>
        <v>D241</v>
      </c>
      <c r="H63" s="23" t="str">
        <f>DEC2HEX(out_col0!H63)</f>
        <v>3</v>
      </c>
      <c r="I63" s="23" t="str">
        <f>DEC2HEX(out_col0!I63)</f>
        <v>498CB</v>
      </c>
    </row>
    <row r="64" spans="1:9">
      <c r="A64" s="17" t="str">
        <f>DEC2HEX(out_col0!A64)</f>
        <v>371F</v>
      </c>
      <c r="B64" s="17" t="str">
        <f>DEC2HEX(out_col0!B64)</f>
        <v>3B1C</v>
      </c>
      <c r="C64" s="17" t="str">
        <f>DEC2HEX(out_col0!C64)</f>
        <v>2657</v>
      </c>
      <c r="D64" s="17" t="str">
        <f>DEC2HEX(out_col0!D64)</f>
        <v>10E</v>
      </c>
      <c r="E64" s="30"/>
      <c r="F64" s="17" t="str">
        <f>DEC2HEX(out_col0!F64)</f>
        <v>99A0</v>
      </c>
      <c r="H64" s="23" t="str">
        <f>DEC2HEX(out_col0!H64)</f>
        <v>4</v>
      </c>
      <c r="I64" s="23" t="str">
        <f>DEC2HEX(out_col0!I64)</f>
        <v>4697E</v>
      </c>
    </row>
    <row r="65" spans="1:9">
      <c r="A65" s="17" t="str">
        <f>DEC2HEX(out_col0!A65)</f>
        <v>27A5</v>
      </c>
      <c r="B65" s="17" t="str">
        <f>DEC2HEX(out_col0!B65)</f>
        <v>6430</v>
      </c>
      <c r="C65" s="17" t="str">
        <f>DEC2HEX(out_col0!C65)</f>
        <v>74E0</v>
      </c>
      <c r="D65" s="17" t="str">
        <f>DEC2HEX(out_col0!D65)</f>
        <v>6039</v>
      </c>
      <c r="E65" s="30"/>
      <c r="F65" s="17" t="str">
        <f>DEC2HEX(out_col0!F65)</f>
        <v>160EE</v>
      </c>
      <c r="H65" s="23" t="str">
        <f>DEC2HEX(out_col0!H65)</f>
        <v>5</v>
      </c>
      <c r="I65" s="23" t="str">
        <f>DEC2HEX(out_col0!I65)</f>
        <v>471CA</v>
      </c>
    </row>
    <row r="66" spans="1:9">
      <c r="A66" s="18" t="str">
        <f>DEC2HEX(out_col0!A66)</f>
        <v>4C12</v>
      </c>
      <c r="B66" s="18" t="str">
        <f>DEC2HEX(out_col0!B66)</f>
        <v>B14E</v>
      </c>
      <c r="C66" s="18" t="str">
        <f>DEC2HEX(out_col0!C66)</f>
        <v>185B</v>
      </c>
      <c r="D66" s="18" t="str">
        <f>DEC2HEX(out_col0!D66)</f>
        <v>35E8</v>
      </c>
      <c r="E66" s="30"/>
      <c r="F66" s="18" t="str">
        <f>DEC2HEX(out_col0!F66)</f>
        <v>14BA3</v>
      </c>
      <c r="H66" s="23" t="s">
        <v>6</v>
      </c>
      <c r="I66" s="23" t="str">
        <f>DEC2HEX(out_col0!I66)</f>
        <v>154509</v>
      </c>
    </row>
    <row r="67" spans="1:9">
      <c r="A67" s="18" t="str">
        <f>DEC2HEX(out_col0!A67)</f>
        <v>12E6</v>
      </c>
      <c r="B67" s="18" t="str">
        <f>DEC2HEX(out_col0!B67)</f>
        <v>2184</v>
      </c>
      <c r="C67" s="18" t="str">
        <f>DEC2HEX(out_col0!C67)</f>
        <v>5E74</v>
      </c>
      <c r="D67" s="18" t="str">
        <f>DEC2HEX(out_col0!D67)</f>
        <v>10FF</v>
      </c>
      <c r="E67" s="30"/>
      <c r="F67" s="18" t="str">
        <f>DEC2HEX(out_col0!F67)</f>
        <v>A3DD</v>
      </c>
    </row>
    <row r="68" spans="1:9">
      <c r="A68" s="18" t="str">
        <f>DEC2HEX(out_col0!A68)</f>
        <v>EA55</v>
      </c>
      <c r="B68" s="18" t="str">
        <f>DEC2HEX(out_col0!B68)</f>
        <v>4C39</v>
      </c>
      <c r="C68" s="18" t="str">
        <f>DEC2HEX(out_col0!C68)</f>
        <v>A6E8</v>
      </c>
      <c r="D68" s="18" t="str">
        <f>DEC2HEX(out_col0!D68)</f>
        <v>3BB8</v>
      </c>
      <c r="E68" s="30"/>
      <c r="F68" s="18" t="str">
        <f>DEC2HEX(out_col0!F68)</f>
        <v>2192E</v>
      </c>
    </row>
    <row r="69" spans="1:9">
      <c r="A69" s="18" t="str">
        <f>DEC2HEX(out_col0!A69)</f>
        <v>E91</v>
      </c>
      <c r="B69" s="18" t="str">
        <f>DEC2HEX(out_col0!B69)</f>
        <v>2788</v>
      </c>
      <c r="C69" s="18" t="str">
        <f>DEC2HEX(out_col0!C69)</f>
        <v>170</v>
      </c>
      <c r="D69" s="18" t="str">
        <f>DEC2HEX(out_col0!D69)</f>
        <v>6C10</v>
      </c>
      <c r="E69" s="30"/>
      <c r="F69" s="18" t="str">
        <f>DEC2HEX(out_col0!F69)</f>
        <v>A399</v>
      </c>
    </row>
    <row r="70" spans="1:9">
      <c r="A70" s="18" t="str">
        <f>DEC2HEX(out_col0!A70)</f>
        <v>CF08</v>
      </c>
      <c r="B70" s="18" t="str">
        <f>DEC2HEX(out_col0!B70)</f>
        <v>C7C</v>
      </c>
      <c r="C70" s="18" t="str">
        <f>DEC2HEX(out_col0!C70)</f>
        <v>4614</v>
      </c>
      <c r="D70" s="18" t="str">
        <f>DEC2HEX(out_col0!D70)</f>
        <v>0</v>
      </c>
      <c r="E70" s="30"/>
      <c r="F70" s="18" t="str">
        <f>DEC2HEX(out_col0!F70)</f>
        <v>12198</v>
      </c>
    </row>
    <row r="71" spans="1:9">
      <c r="A71" s="17" t="str">
        <f>DEC2HEX(out_col0!A71)</f>
        <v>607C</v>
      </c>
      <c r="B71" s="17" t="str">
        <f>DEC2HEX(out_col0!B71)</f>
        <v>2CD8</v>
      </c>
      <c r="C71" s="17" t="str">
        <f>DEC2HEX(out_col0!C71)</f>
        <v>8FD</v>
      </c>
      <c r="D71" s="17" t="str">
        <f>DEC2HEX(out_col0!D71)</f>
        <v>7128</v>
      </c>
      <c r="E71" s="30"/>
      <c r="F71" s="17" t="str">
        <f>DEC2HEX(out_col0!F71)</f>
        <v>10779</v>
      </c>
    </row>
    <row r="72" spans="1:9">
      <c r="A72" s="17" t="str">
        <f>DEC2HEX(out_col0!A72)</f>
        <v>D20</v>
      </c>
      <c r="B72" s="17" t="str">
        <f>DEC2HEX(out_col0!B72)</f>
        <v>678E</v>
      </c>
      <c r="C72" s="17" t="str">
        <f>DEC2HEX(out_col0!C72)</f>
        <v>39D3</v>
      </c>
      <c r="D72" s="17" t="str">
        <f>DEC2HEX(out_col0!D72)</f>
        <v>2198</v>
      </c>
      <c r="E72" s="30"/>
      <c r="F72" s="17" t="str">
        <f>DEC2HEX(out_col0!F72)</f>
        <v>D019</v>
      </c>
    </row>
    <row r="73" spans="1:9">
      <c r="A73" s="17" t="str">
        <f>DEC2HEX(out_col0!A73)</f>
        <v>1C56</v>
      </c>
      <c r="B73" s="17" t="str">
        <f>DEC2HEX(out_col0!B73)</f>
        <v>173E</v>
      </c>
      <c r="C73" s="17" t="str">
        <f>DEC2HEX(out_col0!C73)</f>
        <v>66</v>
      </c>
      <c r="D73" s="17" t="str">
        <f>DEC2HEX(out_col0!D73)</f>
        <v>9580</v>
      </c>
      <c r="E73" s="30"/>
      <c r="F73" s="17" t="str">
        <f>DEC2HEX(out_col0!F73)</f>
        <v>C97A</v>
      </c>
    </row>
    <row r="74" spans="1:9">
      <c r="A74" s="17" t="str">
        <f>DEC2HEX(out_col0!A74)</f>
        <v>70A9</v>
      </c>
      <c r="B74" s="17" t="str">
        <f>DEC2HEX(out_col0!B74)</f>
        <v>42F3</v>
      </c>
      <c r="C74" s="17" t="str">
        <f>DEC2HEX(out_col0!C74)</f>
        <v>F230</v>
      </c>
      <c r="D74" s="17" t="str">
        <f>DEC2HEX(out_col0!D74)</f>
        <v>1B7B</v>
      </c>
      <c r="E74" s="30"/>
      <c r="F74" s="17" t="str">
        <f>DEC2HEX(out_col0!F74)</f>
        <v>1C147</v>
      </c>
    </row>
    <row r="75" spans="1:9">
      <c r="A75" s="17" t="str">
        <f>DEC2HEX(out_col0!A75)</f>
        <v>8E68</v>
      </c>
      <c r="B75" s="17" t="str">
        <f>DEC2HEX(out_col0!B75)</f>
        <v>1371</v>
      </c>
      <c r="C75" s="17" t="str">
        <f>DEC2HEX(out_col0!C75)</f>
        <v>1608</v>
      </c>
      <c r="D75" s="17" t="str">
        <f>DEC2HEX(out_col0!D75)</f>
        <v>2E96</v>
      </c>
      <c r="E75" s="30"/>
      <c r="F75" s="17" t="str">
        <f>DEC2HEX(out_col0!F75)</f>
        <v>E677</v>
      </c>
    </row>
    <row r="76" spans="1:9">
      <c r="A76" s="18" t="str">
        <f>DEC2HEX(out_col0!A76)</f>
        <v>C30</v>
      </c>
      <c r="B76" s="18" t="str">
        <f>DEC2HEX(out_col0!B76)</f>
        <v>44DC</v>
      </c>
      <c r="C76" s="18" t="str">
        <f>DEC2HEX(out_col0!C76)</f>
        <v>9E2</v>
      </c>
      <c r="D76" s="18" t="str">
        <f>DEC2HEX(out_col0!D76)</f>
        <v>1CE0</v>
      </c>
      <c r="E76" s="30"/>
      <c r="F76" s="18" t="str">
        <f>DEC2HEX(out_col0!F76)</f>
        <v>77CE</v>
      </c>
    </row>
    <row r="77" spans="1:9">
      <c r="A77" s="18" t="str">
        <f>DEC2HEX(out_col0!A77)</f>
        <v>394E</v>
      </c>
      <c r="B77" s="18" t="str">
        <f>DEC2HEX(out_col0!B77)</f>
        <v>415A</v>
      </c>
      <c r="C77" s="18" t="str">
        <f>DEC2HEX(out_col0!C77)</f>
        <v>2422</v>
      </c>
      <c r="D77" s="18" t="str">
        <f>DEC2HEX(out_col0!D77)</f>
        <v>7D64</v>
      </c>
      <c r="E77" s="30"/>
      <c r="F77" s="18" t="str">
        <f>DEC2HEX(out_col0!F77)</f>
        <v>11C2E</v>
      </c>
    </row>
    <row r="78" spans="1:9">
      <c r="A78" s="18" t="str">
        <f>DEC2HEX(out_col0!A78)</f>
        <v>4A56</v>
      </c>
      <c r="B78" s="18" t="str">
        <f>DEC2HEX(out_col0!B78)</f>
        <v>5208</v>
      </c>
      <c r="C78" s="18" t="str">
        <f>DEC2HEX(out_col0!C78)</f>
        <v>3552</v>
      </c>
      <c r="D78" s="18" t="str">
        <f>DEC2HEX(out_col0!D78)</f>
        <v>1232</v>
      </c>
      <c r="E78" s="30"/>
      <c r="F78" s="18" t="str">
        <f>DEC2HEX(out_col0!F78)</f>
        <v>E3E2</v>
      </c>
    </row>
    <row r="79" spans="1:9">
      <c r="A79" s="18" t="str">
        <f>DEC2HEX(out_col0!A79)</f>
        <v>3FD4</v>
      </c>
      <c r="B79" s="18" t="str">
        <f>DEC2HEX(out_col0!B79)</f>
        <v>369F</v>
      </c>
      <c r="C79" s="18" t="str">
        <f>DEC2HEX(out_col0!C79)</f>
        <v>9824</v>
      </c>
      <c r="D79" s="18" t="str">
        <f>DEC2HEX(out_col0!D79)</f>
        <v>5C67</v>
      </c>
      <c r="E79" s="30"/>
      <c r="F79" s="18" t="str">
        <f>DEC2HEX(out_col0!F79)</f>
        <v>16AFE</v>
      </c>
    </row>
    <row r="80" spans="1:9">
      <c r="A80" s="18" t="str">
        <f>DEC2HEX(out_col0!A80)</f>
        <v>10F2</v>
      </c>
      <c r="B80" s="18" t="str">
        <f>DEC2HEX(out_col0!B80)</f>
        <v>A71</v>
      </c>
      <c r="C80" s="18" t="str">
        <f>DEC2HEX(out_col0!C80)</f>
        <v>B9A4</v>
      </c>
      <c r="D80" s="18" t="str">
        <f>DEC2HEX(out_col0!D80)</f>
        <v>33C6</v>
      </c>
      <c r="E80" s="31"/>
      <c r="F80" s="18" t="str">
        <f>DEC2HEX(out_col0!F80)</f>
        <v>108CD</v>
      </c>
    </row>
  </sheetData>
  <mergeCells count="4">
    <mergeCell ref="E1:E20"/>
    <mergeCell ref="E21:E40"/>
    <mergeCell ref="E41:E60"/>
    <mergeCell ref="E61:E8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81655-1C82-4EE2-8B9E-D0B27E1AE275}">
  <sheetPr codeName="Foglio3"/>
  <dimension ref="A1:I80"/>
  <sheetViews>
    <sheetView workbookViewId="0">
      <selection activeCell="A16" sqref="A16"/>
    </sheetView>
  </sheetViews>
  <sheetFormatPr defaultRowHeight="14.25"/>
  <sheetData>
    <row r="1" spans="1:9">
      <c r="A1" s="17">
        <f>mem_dec!A1*mem_dec!A82</f>
        <v>671</v>
      </c>
      <c r="B1" s="17">
        <f>mem_dec!B1*mem_dec!B82</f>
        <v>22440</v>
      </c>
      <c r="C1" s="17">
        <f>mem_dec!C1*mem_dec!C82</f>
        <v>2525</v>
      </c>
      <c r="D1" s="17">
        <f>mem_dec!D1*mem_dec!D82</f>
        <v>2080</v>
      </c>
      <c r="E1" s="28"/>
      <c r="F1" s="17">
        <f>SUM(A1:D1)</f>
        <v>27716</v>
      </c>
      <c r="H1" s="23">
        <v>1</v>
      </c>
      <c r="I1" s="23">
        <f>F1+F6+F11+F16</f>
        <v>195111</v>
      </c>
    </row>
    <row r="2" spans="1:9">
      <c r="A2" s="17">
        <f>mem_dec!A2*mem_dec!A83</f>
        <v>5382</v>
      </c>
      <c r="B2" s="17">
        <f>mem_dec!B2*mem_dec!B83</f>
        <v>9405</v>
      </c>
      <c r="C2" s="17">
        <f>mem_dec!C2*mem_dec!C83</f>
        <v>41548</v>
      </c>
      <c r="D2" s="17">
        <f>mem_dec!D2*mem_dec!D83</f>
        <v>14472</v>
      </c>
      <c r="E2" s="28"/>
      <c r="F2" s="17">
        <f t="shared" ref="F2:F65" si="0">SUM(A2:D2)</f>
        <v>70807</v>
      </c>
      <c r="H2" s="23">
        <v>2</v>
      </c>
      <c r="I2" s="23">
        <f>F2+F7+F12+F17</f>
        <v>334467</v>
      </c>
    </row>
    <row r="3" spans="1:9">
      <c r="A3" s="17">
        <f>mem_dec!A3*mem_dec!A84</f>
        <v>5754</v>
      </c>
      <c r="B3" s="17">
        <f>mem_dec!B3*mem_dec!B84</f>
        <v>19656</v>
      </c>
      <c r="C3" s="17">
        <f>mem_dec!C3*mem_dec!C84</f>
        <v>24160</v>
      </c>
      <c r="D3" s="17">
        <f>mem_dec!D3*mem_dec!D84</f>
        <v>21780</v>
      </c>
      <c r="E3" s="28"/>
      <c r="F3" s="17">
        <f t="shared" si="0"/>
        <v>71350</v>
      </c>
      <c r="H3" s="23">
        <v>3</v>
      </c>
      <c r="I3" s="23">
        <f>F3+F8+F13+F18</f>
        <v>315347</v>
      </c>
    </row>
    <row r="4" spans="1:9">
      <c r="A4" s="17">
        <f>mem_dec!A4*mem_dec!A85</f>
        <v>2388</v>
      </c>
      <c r="B4" s="17">
        <f>mem_dec!B4*mem_dec!B85</f>
        <v>51067</v>
      </c>
      <c r="C4" s="17">
        <f>mem_dec!C4*mem_dec!C85</f>
        <v>21896</v>
      </c>
      <c r="D4" s="17">
        <f>mem_dec!D4*mem_dec!D85</f>
        <v>17493</v>
      </c>
      <c r="E4" s="28"/>
      <c r="F4" s="17">
        <f t="shared" si="0"/>
        <v>92844</v>
      </c>
      <c r="H4" s="23">
        <v>4</v>
      </c>
      <c r="I4" s="23">
        <f>F4+F9+F14+F19</f>
        <v>310473</v>
      </c>
    </row>
    <row r="5" spans="1:9">
      <c r="A5" s="17">
        <f>mem_dec!A5*mem_dec!A86</f>
        <v>117</v>
      </c>
      <c r="B5" s="17">
        <f>mem_dec!B5*mem_dec!B86</f>
        <v>23072</v>
      </c>
      <c r="C5" s="17">
        <f>mem_dec!C5*mem_dec!C86</f>
        <v>10512</v>
      </c>
      <c r="D5" s="17">
        <f>mem_dec!D5*mem_dec!D86</f>
        <v>2736</v>
      </c>
      <c r="E5" s="28"/>
      <c r="F5" s="17">
        <f t="shared" si="0"/>
        <v>36437</v>
      </c>
      <c r="H5" s="23">
        <v>5</v>
      </c>
      <c r="I5" s="23">
        <f>F5+F10+F15+F20</f>
        <v>278333</v>
      </c>
    </row>
    <row r="6" spans="1:9">
      <c r="A6" s="18">
        <f>mem_dec!A6*mem_dec!A90</f>
        <v>6888</v>
      </c>
      <c r="B6" s="18">
        <f>mem_dec!B6*mem_dec!B90</f>
        <v>38720</v>
      </c>
      <c r="C6" s="18">
        <f>mem_dec!C6*mem_dec!C90</f>
        <v>35256</v>
      </c>
      <c r="D6" s="18">
        <f>mem_dec!D6*mem_dec!D90</f>
        <v>266</v>
      </c>
      <c r="E6" s="28"/>
      <c r="F6" s="18">
        <f t="shared" si="0"/>
        <v>81130</v>
      </c>
      <c r="H6" s="23" t="s">
        <v>6</v>
      </c>
      <c r="I6" s="23">
        <f>SUM(I1:I5)</f>
        <v>1433731</v>
      </c>
    </row>
    <row r="7" spans="1:9">
      <c r="A7" s="18">
        <f>mem_dec!A7*mem_dec!A91</f>
        <v>54731</v>
      </c>
      <c r="B7" s="18">
        <f>mem_dec!B7*mem_dec!B91</f>
        <v>11534</v>
      </c>
      <c r="C7" s="18">
        <f>mem_dec!C7*mem_dec!C91</f>
        <v>31164</v>
      </c>
      <c r="D7" s="18">
        <f>mem_dec!D7*mem_dec!D91</f>
        <v>9555</v>
      </c>
      <c r="E7" s="28"/>
      <c r="F7" s="18">
        <f t="shared" si="0"/>
        <v>106984</v>
      </c>
    </row>
    <row r="8" spans="1:9">
      <c r="A8" s="18">
        <f>mem_dec!A8*mem_dec!A92</f>
        <v>14916</v>
      </c>
      <c r="B8" s="18">
        <f>mem_dec!B8*mem_dec!B92</f>
        <v>32780</v>
      </c>
      <c r="C8" s="18">
        <f>mem_dec!C8*mem_dec!C92</f>
        <v>38824</v>
      </c>
      <c r="D8" s="18">
        <f>mem_dec!D8*mem_dec!D92</f>
        <v>7182</v>
      </c>
      <c r="E8" s="28"/>
      <c r="F8" s="18">
        <f t="shared" si="0"/>
        <v>93702</v>
      </c>
    </row>
    <row r="9" spans="1:9">
      <c r="A9" s="18">
        <f>mem_dec!A9*mem_dec!A93</f>
        <v>9116</v>
      </c>
      <c r="B9" s="18">
        <f>mem_dec!B9*mem_dec!B93</f>
        <v>1071</v>
      </c>
      <c r="C9" s="18">
        <f>mem_dec!C9*mem_dec!C93</f>
        <v>9936</v>
      </c>
      <c r="D9" s="18">
        <f>mem_dec!D9*mem_dec!D93</f>
        <v>12432</v>
      </c>
      <c r="E9" s="28"/>
      <c r="F9" s="18">
        <f t="shared" si="0"/>
        <v>32555</v>
      </c>
    </row>
    <row r="10" spans="1:9">
      <c r="A10" s="18">
        <f>mem_dec!A10*mem_dec!A94</f>
        <v>29754</v>
      </c>
      <c r="B10" s="18">
        <f>mem_dec!B10*mem_dec!B94</f>
        <v>1908</v>
      </c>
      <c r="C10" s="18">
        <f>mem_dec!C10*mem_dec!C94</f>
        <v>852</v>
      </c>
      <c r="D10" s="18">
        <f>mem_dec!D10*mem_dec!D94</f>
        <v>16100</v>
      </c>
      <c r="E10" s="28"/>
      <c r="F10" s="18">
        <f t="shared" si="0"/>
        <v>48614</v>
      </c>
    </row>
    <row r="11" spans="1:9">
      <c r="A11" s="17">
        <f>mem_dec!A11*mem_dec!A98</f>
        <v>2560</v>
      </c>
      <c r="B11" s="17">
        <f>mem_dec!B11*mem_dec!B98</f>
        <v>20244</v>
      </c>
      <c r="C11" s="17">
        <f>mem_dec!C11*mem_dec!C98</f>
        <v>10349</v>
      </c>
      <c r="D11" s="17">
        <f>mem_dec!D11*mem_dec!D98</f>
        <v>3612</v>
      </c>
      <c r="E11" s="28"/>
      <c r="F11" s="17">
        <f t="shared" si="0"/>
        <v>36765</v>
      </c>
    </row>
    <row r="12" spans="1:9">
      <c r="A12" s="17">
        <f>mem_dec!A12*mem_dec!A99</f>
        <v>45198</v>
      </c>
      <c r="B12" s="17">
        <f>mem_dec!B12*mem_dec!B99</f>
        <v>24752</v>
      </c>
      <c r="C12" s="17">
        <f>mem_dec!C12*mem_dec!C99</f>
        <v>45</v>
      </c>
      <c r="D12" s="17">
        <f>mem_dec!D12*mem_dec!D99</f>
        <v>15392</v>
      </c>
      <c r="E12" s="28"/>
      <c r="F12" s="17">
        <f t="shared" si="0"/>
        <v>85387</v>
      </c>
    </row>
    <row r="13" spans="1:9">
      <c r="A13" s="17">
        <f>mem_dec!A13*mem_dec!A100</f>
        <v>20437</v>
      </c>
      <c r="B13" s="17">
        <f>mem_dec!B13*mem_dec!B100</f>
        <v>2088</v>
      </c>
      <c r="C13" s="17">
        <f>mem_dec!C13*mem_dec!C100</f>
        <v>39928</v>
      </c>
      <c r="D13" s="17">
        <f>mem_dec!D13*mem_dec!D100</f>
        <v>6300</v>
      </c>
      <c r="E13" s="28"/>
      <c r="F13" s="17">
        <f t="shared" si="0"/>
        <v>68753</v>
      </c>
    </row>
    <row r="14" spans="1:9">
      <c r="A14" s="17">
        <f>mem_dec!A14*mem_dec!A101</f>
        <v>27216</v>
      </c>
      <c r="B14" s="17">
        <f>mem_dec!B14*mem_dec!B101</f>
        <v>2079</v>
      </c>
      <c r="C14" s="17">
        <f>mem_dec!C14*mem_dec!C101</f>
        <v>9118</v>
      </c>
      <c r="D14" s="17">
        <f>mem_dec!D14*mem_dec!D101</f>
        <v>13350</v>
      </c>
      <c r="E14" s="28"/>
      <c r="F14" s="17">
        <f t="shared" si="0"/>
        <v>51763</v>
      </c>
    </row>
    <row r="15" spans="1:9">
      <c r="A15" s="17">
        <f>mem_dec!A15*mem_dec!A102</f>
        <v>14274</v>
      </c>
      <c r="B15" s="17">
        <f>mem_dec!B15*mem_dec!B102</f>
        <v>34848</v>
      </c>
      <c r="C15" s="17">
        <f>mem_dec!C15*mem_dec!C102</f>
        <v>50358</v>
      </c>
      <c r="D15" s="17">
        <f>mem_dec!D15*mem_dec!D102</f>
        <v>9676</v>
      </c>
      <c r="E15" s="28"/>
      <c r="F15" s="17">
        <f t="shared" si="0"/>
        <v>109156</v>
      </c>
    </row>
    <row r="16" spans="1:9">
      <c r="A16" s="18">
        <f>mem_dec!A16*mem_dec!A106</f>
        <v>17730</v>
      </c>
      <c r="B16" s="18">
        <f>mem_dec!B16*mem_dec!B106</f>
        <v>19120</v>
      </c>
      <c r="C16" s="18">
        <f>mem_dec!C16*mem_dec!C106</f>
        <v>666</v>
      </c>
      <c r="D16" s="18">
        <f>mem_dec!D16*mem_dec!D106</f>
        <v>11984</v>
      </c>
      <c r="E16" s="28"/>
      <c r="F16" s="18">
        <f t="shared" si="0"/>
        <v>49500</v>
      </c>
    </row>
    <row r="17" spans="1:9">
      <c r="A17" s="18">
        <f>mem_dec!A17*mem_dec!A107</f>
        <v>18260</v>
      </c>
      <c r="B17" s="18">
        <f>mem_dec!B17*mem_dec!B107</f>
        <v>15120</v>
      </c>
      <c r="C17" s="18">
        <f>mem_dec!C17*mem_dec!C107</f>
        <v>10920</v>
      </c>
      <c r="D17" s="18">
        <f>mem_dec!D17*mem_dec!D107</f>
        <v>26989</v>
      </c>
      <c r="E17" s="28"/>
      <c r="F17" s="18">
        <f t="shared" si="0"/>
        <v>71289</v>
      </c>
    </row>
    <row r="18" spans="1:9">
      <c r="A18" s="18">
        <f>mem_dec!A18*mem_dec!A108</f>
        <v>2052</v>
      </c>
      <c r="B18" s="18">
        <f>mem_dec!B18*mem_dec!B108</f>
        <v>56406</v>
      </c>
      <c r="C18" s="18">
        <f>mem_dec!C18*mem_dec!C108</f>
        <v>19474</v>
      </c>
      <c r="D18" s="18">
        <f>mem_dec!D18*mem_dec!D108</f>
        <v>3610</v>
      </c>
      <c r="E18" s="28"/>
      <c r="F18" s="18">
        <f t="shared" si="0"/>
        <v>81542</v>
      </c>
    </row>
    <row r="19" spans="1:9">
      <c r="A19" s="18">
        <f>mem_dec!A19*mem_dec!A109</f>
        <v>55671</v>
      </c>
      <c r="B19" s="18">
        <f>mem_dec!B19*mem_dec!B109</f>
        <v>5940</v>
      </c>
      <c r="C19" s="18">
        <f>mem_dec!C19*mem_dec!C109</f>
        <v>49704</v>
      </c>
      <c r="D19" s="18">
        <f>mem_dec!D19*mem_dec!D109</f>
        <v>21996</v>
      </c>
      <c r="E19" s="28"/>
      <c r="F19" s="18">
        <f t="shared" si="0"/>
        <v>133311</v>
      </c>
    </row>
    <row r="20" spans="1:9">
      <c r="A20" s="18">
        <f>mem_dec!A20*mem_dec!A110</f>
        <v>18972</v>
      </c>
      <c r="B20" s="18">
        <f>mem_dec!B20*mem_dec!B110</f>
        <v>29832</v>
      </c>
      <c r="C20" s="18">
        <f>mem_dec!C20*mem_dec!C110</f>
        <v>826</v>
      </c>
      <c r="D20" s="18">
        <f>mem_dec!D20*mem_dec!D110</f>
        <v>34496</v>
      </c>
      <c r="E20" s="28"/>
      <c r="F20" s="18">
        <f t="shared" si="0"/>
        <v>84126</v>
      </c>
    </row>
    <row r="21" spans="1:9">
      <c r="A21" s="17">
        <f>mem_dec!A21*mem_dec!A81</f>
        <v>44571</v>
      </c>
      <c r="B21" s="17">
        <f>mem_dec!B21*mem_dec!B81</f>
        <v>32683</v>
      </c>
      <c r="C21" s="17">
        <f>mem_dec!C21*mem_dec!C81</f>
        <v>4260</v>
      </c>
      <c r="D21" s="17">
        <f>mem_dec!D21*mem_dec!D81</f>
        <v>43848</v>
      </c>
      <c r="E21" s="29"/>
      <c r="F21" s="17">
        <f t="shared" si="0"/>
        <v>125362</v>
      </c>
      <c r="G21" s="20"/>
      <c r="H21" s="23">
        <v>1</v>
      </c>
      <c r="I21" s="23">
        <f>F21+F26+F31+F36</f>
        <v>257086</v>
      </c>
    </row>
    <row r="22" spans="1:9">
      <c r="A22" s="17">
        <f>mem_dec!A22*mem_dec!A82</f>
        <v>15311</v>
      </c>
      <c r="B22" s="17">
        <f>mem_dec!B22*mem_dec!B82</f>
        <v>25608</v>
      </c>
      <c r="C22" s="17">
        <f>mem_dec!C22*mem_dec!C82</f>
        <v>11615</v>
      </c>
      <c r="D22" s="17">
        <f>mem_dec!D22*mem_dec!D82</f>
        <v>21710</v>
      </c>
      <c r="E22" s="30"/>
      <c r="F22" s="17">
        <f t="shared" si="0"/>
        <v>74244</v>
      </c>
      <c r="H22" s="23">
        <v>2</v>
      </c>
      <c r="I22" s="23">
        <f>F22+F27+F32+F37</f>
        <v>309622</v>
      </c>
    </row>
    <row r="23" spans="1:9">
      <c r="A23" s="17">
        <f>mem_dec!A23*mem_dec!A83</f>
        <v>17082</v>
      </c>
      <c r="B23" s="17">
        <f>mem_dec!B23*mem_dec!B83</f>
        <v>11330</v>
      </c>
      <c r="C23" s="17">
        <f>mem_dec!C23*mem_dec!C83</f>
        <v>38896</v>
      </c>
      <c r="D23" s="17">
        <f>mem_dec!D23*mem_dec!D83</f>
        <v>9504</v>
      </c>
      <c r="E23" s="30"/>
      <c r="F23" s="17">
        <f t="shared" si="0"/>
        <v>76812</v>
      </c>
      <c r="H23" s="23">
        <v>3</v>
      </c>
      <c r="I23" s="23">
        <f>F23+F28+F33+F38</f>
        <v>285146</v>
      </c>
    </row>
    <row r="24" spans="1:9">
      <c r="A24" s="17">
        <f>mem_dec!A24*mem_dec!A84</f>
        <v>25071</v>
      </c>
      <c r="B24" s="17">
        <f>mem_dec!B24*mem_dec!B84</f>
        <v>18096</v>
      </c>
      <c r="C24" s="17">
        <f>mem_dec!C24*mem_dec!C84</f>
        <v>30653</v>
      </c>
      <c r="D24" s="17">
        <f>mem_dec!D24*mem_dec!D84</f>
        <v>6660</v>
      </c>
      <c r="E24" s="30"/>
      <c r="F24" s="17">
        <f t="shared" si="0"/>
        <v>80480</v>
      </c>
      <c r="H24" s="23">
        <v>4</v>
      </c>
      <c r="I24" s="23">
        <f>F24+F29+F34+F39</f>
        <v>274114</v>
      </c>
    </row>
    <row r="25" spans="1:9">
      <c r="A25" s="17">
        <f>mem_dec!A25*mem_dec!A85</f>
        <v>37611</v>
      </c>
      <c r="B25" s="17">
        <f>mem_dec!B25*mem_dec!B85</f>
        <v>7328</v>
      </c>
      <c r="C25" s="17">
        <f>mem_dec!C25*mem_dec!C85</f>
        <v>13600</v>
      </c>
      <c r="D25" s="17">
        <f>mem_dec!D25*mem_dec!D85</f>
        <v>25109</v>
      </c>
      <c r="E25" s="30"/>
      <c r="F25" s="17">
        <f t="shared" si="0"/>
        <v>83648</v>
      </c>
      <c r="H25" s="23">
        <v>5</v>
      </c>
      <c r="I25" s="23">
        <f>F25+F30+F35+F40</f>
        <v>255247</v>
      </c>
    </row>
    <row r="26" spans="1:9">
      <c r="A26" s="18">
        <f>mem_dec!A26*mem_dec!A90</f>
        <v>820</v>
      </c>
      <c r="B26" s="18">
        <f>mem_dec!B26*mem_dec!B90</f>
        <v>14740</v>
      </c>
      <c r="C26" s="18">
        <f>mem_dec!C26*mem_dec!C90</f>
        <v>3276</v>
      </c>
      <c r="D26" s="18">
        <f>mem_dec!D26*mem_dec!D90</f>
        <v>3059</v>
      </c>
      <c r="E26" s="30"/>
      <c r="F26" s="18">
        <f t="shared" si="0"/>
        <v>21895</v>
      </c>
      <c r="H26" s="23" t="s">
        <v>6</v>
      </c>
      <c r="I26" s="23">
        <f>SUM(I21:I25)</f>
        <v>1381215</v>
      </c>
    </row>
    <row r="27" spans="1:9">
      <c r="A27" s="18">
        <f>mem_dec!A27*mem_dec!A91</f>
        <v>51146</v>
      </c>
      <c r="B27" s="18">
        <f>mem_dec!B27*mem_dec!B91</f>
        <v>12008</v>
      </c>
      <c r="C27" s="18">
        <f>mem_dec!C27*mem_dec!C91</f>
        <v>41748</v>
      </c>
      <c r="D27" s="18">
        <f>mem_dec!D27*mem_dec!D91</f>
        <v>182</v>
      </c>
      <c r="E27" s="30"/>
      <c r="F27" s="18">
        <f t="shared" si="0"/>
        <v>105084</v>
      </c>
    </row>
    <row r="28" spans="1:9">
      <c r="A28" s="18">
        <f>mem_dec!A28*mem_dec!A92</f>
        <v>22148</v>
      </c>
      <c r="B28" s="18">
        <f>mem_dec!B28*mem_dec!B92</f>
        <v>33880</v>
      </c>
      <c r="C28" s="18">
        <f>mem_dec!C28*mem_dec!C92</f>
        <v>17112</v>
      </c>
      <c r="D28" s="18">
        <f>mem_dec!D28*mem_dec!D92</f>
        <v>18487</v>
      </c>
      <c r="E28" s="30"/>
      <c r="F28" s="18">
        <f t="shared" si="0"/>
        <v>91627</v>
      </c>
    </row>
    <row r="29" spans="1:9">
      <c r="A29" s="18">
        <f>mem_dec!A29*mem_dec!A93</f>
        <v>41340</v>
      </c>
      <c r="B29" s="18">
        <f>mem_dec!B29*mem_dec!B93</f>
        <v>2907</v>
      </c>
      <c r="C29" s="18">
        <f>mem_dec!C29*mem_dec!C93</f>
        <v>1518</v>
      </c>
      <c r="D29" s="18">
        <f>mem_dec!D29*mem_dec!D93</f>
        <v>16464</v>
      </c>
      <c r="E29" s="30"/>
      <c r="F29" s="18">
        <f t="shared" si="0"/>
        <v>62229</v>
      </c>
    </row>
    <row r="30" spans="1:9">
      <c r="A30" s="18">
        <f>mem_dec!A30*mem_dec!A94</f>
        <v>37449</v>
      </c>
      <c r="B30" s="18">
        <f>mem_dec!B30*mem_dec!B94</f>
        <v>4086</v>
      </c>
      <c r="C30" s="18">
        <f>mem_dec!C30*mem_dec!C94</f>
        <v>432</v>
      </c>
      <c r="D30" s="18">
        <f>mem_dec!D30*mem_dec!D94</f>
        <v>7980</v>
      </c>
      <c r="E30" s="30"/>
      <c r="F30" s="18">
        <f t="shared" si="0"/>
        <v>49947</v>
      </c>
    </row>
    <row r="31" spans="1:9">
      <c r="A31" s="17">
        <f>mem_dec!A31*mem_dec!A99</f>
        <v>7440</v>
      </c>
      <c r="B31" s="17">
        <f>mem_dec!B31*mem_dec!B99</f>
        <v>7616</v>
      </c>
      <c r="C31" s="17">
        <f>mem_dec!C31*mem_dec!C99</f>
        <v>159</v>
      </c>
      <c r="D31" s="17">
        <f>mem_dec!D31*mem_dec!D99</f>
        <v>13520</v>
      </c>
      <c r="E31" s="30"/>
      <c r="F31" s="17">
        <f t="shared" si="0"/>
        <v>28735</v>
      </c>
    </row>
    <row r="32" spans="1:9">
      <c r="A32" s="17">
        <f>mem_dec!A32*mem_dec!A100</f>
        <v>21201</v>
      </c>
      <c r="B32" s="17">
        <f>mem_dec!B32*mem_dec!B100</f>
        <v>20706</v>
      </c>
      <c r="C32" s="17">
        <f>mem_dec!C32*mem_dec!C100</f>
        <v>18848</v>
      </c>
      <c r="D32" s="17">
        <f>mem_dec!D32*mem_dec!D100</f>
        <v>7000</v>
      </c>
      <c r="E32" s="30"/>
      <c r="F32" s="17">
        <f t="shared" si="0"/>
        <v>67755</v>
      </c>
    </row>
    <row r="33" spans="1:9">
      <c r="A33" s="17">
        <f>mem_dec!A33*mem_dec!A101</f>
        <v>6720</v>
      </c>
      <c r="B33" s="17">
        <f>mem_dec!B33*mem_dec!B101</f>
        <v>4683</v>
      </c>
      <c r="C33" s="17">
        <f>mem_dec!C33*mem_dec!C101</f>
        <v>9118</v>
      </c>
      <c r="D33" s="17">
        <f>mem_dec!D33*mem_dec!D101</f>
        <v>18868</v>
      </c>
      <c r="E33" s="30"/>
      <c r="F33" s="17">
        <f t="shared" si="0"/>
        <v>39389</v>
      </c>
    </row>
    <row r="34" spans="1:9">
      <c r="A34" s="17">
        <f>mem_dec!A34*mem_dec!A102</f>
        <v>366</v>
      </c>
      <c r="B34" s="17">
        <f>mem_dec!B34*mem_dec!B102</f>
        <v>33840</v>
      </c>
      <c r="C34" s="17">
        <f>mem_dec!C34*mem_dec!C102</f>
        <v>9592</v>
      </c>
      <c r="D34" s="17">
        <f>mem_dec!D34*mem_dec!D102</f>
        <v>24108</v>
      </c>
      <c r="E34" s="30"/>
      <c r="F34" s="17">
        <f t="shared" si="0"/>
        <v>67906</v>
      </c>
    </row>
    <row r="35" spans="1:9">
      <c r="A35" s="17">
        <f>mem_dec!A35*mem_dec!A103</f>
        <v>31125</v>
      </c>
      <c r="B35" s="17">
        <f>mem_dec!B35*mem_dec!B103</f>
        <v>5208</v>
      </c>
      <c r="C35" s="17">
        <f>mem_dec!C35*mem_dec!C103</f>
        <v>3168</v>
      </c>
      <c r="D35" s="17">
        <f>mem_dec!D35*mem_dec!D103</f>
        <v>1095</v>
      </c>
      <c r="E35" s="30"/>
      <c r="F35" s="17">
        <f t="shared" si="0"/>
        <v>40596</v>
      </c>
    </row>
    <row r="36" spans="1:9">
      <c r="A36" s="18">
        <f>mem_dec!A36*mem_dec!A108</f>
        <v>10640</v>
      </c>
      <c r="B36" s="18">
        <f>mem_dec!B36*mem_dec!B108</f>
        <v>44082</v>
      </c>
      <c r="C36" s="18">
        <f>mem_dec!C36*mem_dec!C108</f>
        <v>8132</v>
      </c>
      <c r="D36" s="18">
        <f>mem_dec!D36*mem_dec!D108</f>
        <v>18240</v>
      </c>
      <c r="E36" s="30"/>
      <c r="F36" s="18">
        <f t="shared" si="0"/>
        <v>81094</v>
      </c>
    </row>
    <row r="37" spans="1:9">
      <c r="A37" s="18">
        <f>mem_dec!A37*mem_dec!A109</f>
        <v>13255</v>
      </c>
      <c r="B37" s="18">
        <f>mem_dec!B37*mem_dec!B109</f>
        <v>1914</v>
      </c>
      <c r="C37" s="18">
        <f>mem_dec!C37*mem_dec!C109</f>
        <v>47088</v>
      </c>
      <c r="D37" s="18">
        <f>mem_dec!D37*mem_dec!D109</f>
        <v>282</v>
      </c>
      <c r="E37" s="30"/>
      <c r="F37" s="18">
        <f t="shared" si="0"/>
        <v>62539</v>
      </c>
    </row>
    <row r="38" spans="1:9">
      <c r="A38" s="18">
        <f>mem_dec!A38*mem_dec!A110</f>
        <v>20181</v>
      </c>
      <c r="B38" s="18">
        <f>mem_dec!B38*mem_dec!B110</f>
        <v>31944</v>
      </c>
      <c r="C38" s="18">
        <f>mem_dec!C38*mem_dec!C110</f>
        <v>707</v>
      </c>
      <c r="D38" s="18">
        <f>mem_dec!D38*mem_dec!D110</f>
        <v>24486</v>
      </c>
      <c r="E38" s="30"/>
      <c r="F38" s="18">
        <f t="shared" si="0"/>
        <v>77318</v>
      </c>
    </row>
    <row r="39" spans="1:9">
      <c r="A39" s="18">
        <f>mem_dec!A39*mem_dec!A111</f>
        <v>10480</v>
      </c>
      <c r="B39" s="18">
        <f>mem_dec!B39*mem_dec!B111</f>
        <v>21330</v>
      </c>
      <c r="C39" s="18">
        <f>mem_dec!C39*mem_dec!C111</f>
        <v>9954</v>
      </c>
      <c r="D39" s="18">
        <f>mem_dec!D39*mem_dec!D111</f>
        <v>21735</v>
      </c>
      <c r="E39" s="30"/>
      <c r="F39" s="18">
        <f t="shared" si="0"/>
        <v>63499</v>
      </c>
    </row>
    <row r="40" spans="1:9">
      <c r="A40" s="18">
        <f>mem_dec!A40*mem_dec!A112</f>
        <v>17756</v>
      </c>
      <c r="B40" s="18">
        <f>mem_dec!B40*mem_dec!B112</f>
        <v>8000</v>
      </c>
      <c r="C40" s="18">
        <f>mem_dec!C40*mem_dec!C112</f>
        <v>21112</v>
      </c>
      <c r="D40" s="18">
        <f>mem_dec!D40*mem_dec!D112</f>
        <v>34188</v>
      </c>
      <c r="E40" s="31"/>
      <c r="F40" s="18">
        <f t="shared" si="0"/>
        <v>81056</v>
      </c>
    </row>
    <row r="41" spans="1:9">
      <c r="A41" s="17">
        <f>mem_dec!A41*mem_dec!A81</f>
        <v>45069</v>
      </c>
      <c r="B41" s="17">
        <f>mem_dec!B41*mem_dec!B81</f>
        <v>33971</v>
      </c>
      <c r="C41" s="17">
        <f>mem_dec!C41*mem_dec!C81</f>
        <v>7560</v>
      </c>
      <c r="D41" s="17">
        <f>mem_dec!D41*mem_dec!D81</f>
        <v>37584</v>
      </c>
      <c r="E41" s="29"/>
      <c r="F41" s="17">
        <f t="shared" si="0"/>
        <v>124184</v>
      </c>
      <c r="G41" s="20"/>
      <c r="H41" s="23">
        <v>1</v>
      </c>
      <c r="I41" s="23">
        <f>F41+F46+F51+F56</f>
        <v>362103</v>
      </c>
    </row>
    <row r="42" spans="1:9">
      <c r="A42" s="17">
        <f>mem_dec!A42*mem_dec!A82</f>
        <v>1891</v>
      </c>
      <c r="B42" s="17">
        <f>mem_dec!B42*mem_dec!B82</f>
        <v>19140</v>
      </c>
      <c r="C42" s="17">
        <f>mem_dec!C42*mem_dec!C82</f>
        <v>22119</v>
      </c>
      <c r="D42" s="17">
        <f>mem_dec!D42*mem_dec!D82</f>
        <v>13390</v>
      </c>
      <c r="E42" s="30"/>
      <c r="F42" s="17">
        <f t="shared" si="0"/>
        <v>56540</v>
      </c>
      <c r="H42" s="23">
        <v>2</v>
      </c>
      <c r="I42" s="23">
        <f>F42+F47+F52+F57</f>
        <v>322319</v>
      </c>
    </row>
    <row r="43" spans="1:9">
      <c r="A43" s="17">
        <f>mem_dec!A43*mem_dec!A83</f>
        <v>14040</v>
      </c>
      <c r="B43" s="17">
        <f>mem_dec!B43*mem_dec!B83</f>
        <v>2200</v>
      </c>
      <c r="C43" s="17">
        <f>mem_dec!C43*mem_dec!C83</f>
        <v>54587</v>
      </c>
      <c r="D43" s="17">
        <f>mem_dec!D43*mem_dec!D83</f>
        <v>9936</v>
      </c>
      <c r="E43" s="30"/>
      <c r="F43" s="17">
        <f t="shared" si="0"/>
        <v>80763</v>
      </c>
      <c r="H43" s="23">
        <v>3</v>
      </c>
      <c r="I43" s="23">
        <f>F43+F48+F53+F58</f>
        <v>253951</v>
      </c>
    </row>
    <row r="44" spans="1:9">
      <c r="A44" s="17">
        <f>mem_dec!A44*mem_dec!A84</f>
        <v>9727</v>
      </c>
      <c r="B44" s="17">
        <f>mem_dec!B44*mem_dec!B84</f>
        <v>6396</v>
      </c>
      <c r="C44" s="17">
        <f>mem_dec!C44*mem_dec!C84</f>
        <v>20234</v>
      </c>
      <c r="D44" s="17">
        <f>mem_dec!D44*mem_dec!D84</f>
        <v>10440</v>
      </c>
      <c r="E44" s="30"/>
      <c r="F44" s="17">
        <f t="shared" si="0"/>
        <v>46797</v>
      </c>
      <c r="H44" s="23">
        <v>4</v>
      </c>
      <c r="I44" s="23">
        <f>F44+F49+F54+F59</f>
        <v>179662</v>
      </c>
    </row>
    <row r="45" spans="1:9">
      <c r="A45" s="17">
        <f>mem_dec!A45*mem_dec!A85</f>
        <v>40397</v>
      </c>
      <c r="B45" s="17">
        <f>mem_dec!B45*mem_dec!B85</f>
        <v>37098</v>
      </c>
      <c r="C45" s="17">
        <f>mem_dec!C45*mem_dec!C85</f>
        <v>18904</v>
      </c>
      <c r="D45" s="17">
        <f>mem_dec!D45*mem_dec!D85</f>
        <v>1428</v>
      </c>
      <c r="E45" s="30"/>
      <c r="F45" s="17">
        <f t="shared" si="0"/>
        <v>97827</v>
      </c>
      <c r="H45" s="23">
        <v>5</v>
      </c>
      <c r="I45" s="23">
        <f>F45+F50+F55+F60</f>
        <v>271944</v>
      </c>
    </row>
    <row r="46" spans="1:9">
      <c r="A46" s="18">
        <f>mem_dec!A90*mem_dec!A46</f>
        <v>9758</v>
      </c>
      <c r="B46" s="18">
        <f>mem_dec!B90*mem_dec!B46</f>
        <v>36960</v>
      </c>
      <c r="C46" s="18">
        <f>mem_dec!C90*mem_dec!C46</f>
        <v>21372</v>
      </c>
      <c r="D46" s="18">
        <f>mem_dec!D90*mem_dec!D46</f>
        <v>4617</v>
      </c>
      <c r="E46" s="30"/>
      <c r="F46" s="18">
        <f t="shared" si="0"/>
        <v>72707</v>
      </c>
      <c r="H46" s="23" t="s">
        <v>6</v>
      </c>
      <c r="I46" s="23">
        <f>SUM(I41:I45)</f>
        <v>1389979</v>
      </c>
    </row>
    <row r="47" spans="1:9">
      <c r="A47" s="18">
        <f>mem_dec!A91*mem_dec!A47</f>
        <v>24617</v>
      </c>
      <c r="B47" s="18">
        <f>mem_dec!B91*mem_dec!B47</f>
        <v>12640</v>
      </c>
      <c r="C47" s="18">
        <f>mem_dec!C91*mem_dec!C47</f>
        <v>6860</v>
      </c>
      <c r="D47" s="18">
        <f>mem_dec!D91*mem_dec!D47</f>
        <v>20930</v>
      </c>
      <c r="E47" s="30"/>
      <c r="F47" s="18">
        <f t="shared" si="0"/>
        <v>65047</v>
      </c>
    </row>
    <row r="48" spans="1:9">
      <c r="A48" s="18">
        <f>mem_dec!A92*mem_dec!A48</f>
        <v>5650</v>
      </c>
      <c r="B48" s="18">
        <f>mem_dec!B92*mem_dec!B48</f>
        <v>19580</v>
      </c>
      <c r="C48" s="18">
        <f>mem_dec!C92*mem_dec!C48</f>
        <v>46552</v>
      </c>
      <c r="D48" s="18">
        <f>mem_dec!D92*mem_dec!D48</f>
        <v>17556</v>
      </c>
      <c r="E48" s="30"/>
      <c r="F48" s="18">
        <f t="shared" si="0"/>
        <v>89338</v>
      </c>
    </row>
    <row r="49" spans="1:9">
      <c r="A49" s="18">
        <f>mem_dec!A93*mem_dec!A49</f>
        <v>12296</v>
      </c>
      <c r="B49" s="18">
        <f>mem_dec!B93*mem_dec!B49</f>
        <v>1054</v>
      </c>
      <c r="C49" s="18">
        <f>mem_dec!C93*mem_dec!C49</f>
        <v>4692</v>
      </c>
      <c r="D49" s="18">
        <f>mem_dec!D93*mem_dec!D49</f>
        <v>22064</v>
      </c>
      <c r="E49" s="30"/>
      <c r="F49" s="18">
        <f t="shared" si="0"/>
        <v>40106</v>
      </c>
    </row>
    <row r="50" spans="1:9">
      <c r="A50" s="18">
        <f>mem_dec!A94*mem_dec!A50</f>
        <v>21375</v>
      </c>
      <c r="B50" s="18">
        <f>mem_dec!B94*mem_dec!B50</f>
        <v>3726</v>
      </c>
      <c r="C50" s="18">
        <f>mem_dec!C94*mem_dec!C50</f>
        <v>486</v>
      </c>
      <c r="D50" s="18">
        <f>mem_dec!D94*mem_dec!D50</f>
        <v>33180</v>
      </c>
      <c r="E50" s="30"/>
      <c r="F50" s="18">
        <f t="shared" si="0"/>
        <v>58767</v>
      </c>
    </row>
    <row r="51" spans="1:9">
      <c r="A51" s="17">
        <f>mem_dec!A51*mem_dec!A99</f>
        <v>30504</v>
      </c>
      <c r="B51" s="17">
        <f>mem_dec!B51*mem_dec!B99</f>
        <v>36176</v>
      </c>
      <c r="C51" s="17">
        <f>mem_dec!C51*mem_dec!C99</f>
        <v>252</v>
      </c>
      <c r="D51" s="17">
        <f>mem_dec!D51*mem_dec!D99</f>
        <v>48464</v>
      </c>
      <c r="E51" s="30"/>
      <c r="F51" s="17">
        <f t="shared" si="0"/>
        <v>115396</v>
      </c>
    </row>
    <row r="52" spans="1:9">
      <c r="A52" s="17">
        <f>mem_dec!A52*mem_dec!A100</f>
        <v>32279</v>
      </c>
      <c r="B52" s="17">
        <f>mem_dec!B52*mem_dec!B100</f>
        <v>8526</v>
      </c>
      <c r="C52" s="17">
        <f>mem_dec!C52*mem_dec!C100</f>
        <v>45632</v>
      </c>
      <c r="D52" s="17">
        <f>mem_dec!D52*mem_dec!D100</f>
        <v>315</v>
      </c>
      <c r="E52" s="30"/>
      <c r="F52" s="17">
        <f t="shared" si="0"/>
        <v>86752</v>
      </c>
    </row>
    <row r="53" spans="1:9">
      <c r="A53" s="17">
        <f>mem_dec!A53*mem_dec!A101</f>
        <v>18648</v>
      </c>
      <c r="B53" s="17">
        <f>mem_dec!B53*mem_dec!B101</f>
        <v>1239</v>
      </c>
      <c r="C53" s="17">
        <f>mem_dec!C53*mem_dec!C101</f>
        <v>15698</v>
      </c>
      <c r="D53" s="17">
        <f>mem_dec!D53*mem_dec!D101</f>
        <v>24386</v>
      </c>
      <c r="E53" s="30"/>
      <c r="F53" s="17">
        <f t="shared" si="0"/>
        <v>59971</v>
      </c>
    </row>
    <row r="54" spans="1:9">
      <c r="A54" s="17">
        <f>mem_dec!A54*mem_dec!A102</f>
        <v>15006</v>
      </c>
      <c r="B54" s="17">
        <f>mem_dec!B54*mem_dec!B102</f>
        <v>21744</v>
      </c>
      <c r="C54" s="17">
        <f>mem_dec!C54*mem_dec!C102</f>
        <v>1744</v>
      </c>
      <c r="D54" s="17">
        <f>mem_dec!D54*mem_dec!D102</f>
        <v>7544</v>
      </c>
      <c r="E54" s="30"/>
      <c r="F54" s="17">
        <f t="shared" si="0"/>
        <v>46038</v>
      </c>
    </row>
    <row r="55" spans="1:9">
      <c r="A55" s="17">
        <f>mem_dec!A55*mem_dec!A103</f>
        <v>52041</v>
      </c>
      <c r="B55" s="17">
        <f>mem_dec!B55*mem_dec!B103</f>
        <v>7533</v>
      </c>
      <c r="C55" s="17">
        <f>mem_dec!C55*mem_dec!C103</f>
        <v>2784</v>
      </c>
      <c r="D55" s="17">
        <f>mem_dec!D55*mem_dec!D103</f>
        <v>1000</v>
      </c>
      <c r="E55" s="30"/>
      <c r="F55" s="17">
        <f t="shared" si="0"/>
        <v>63358</v>
      </c>
    </row>
    <row r="56" spans="1:9">
      <c r="A56" s="18">
        <f>mem_dec!A56*mem_dec!A108</f>
        <v>6992</v>
      </c>
      <c r="B56" s="18">
        <f>mem_dec!B56*mem_dec!B108</f>
        <v>13509</v>
      </c>
      <c r="C56" s="18">
        <f>mem_dec!C56*mem_dec!C108</f>
        <v>6420</v>
      </c>
      <c r="D56" s="18">
        <f>mem_dec!D56*mem_dec!D108</f>
        <v>22895</v>
      </c>
      <c r="E56" s="30"/>
      <c r="F56" s="18">
        <f t="shared" si="0"/>
        <v>49816</v>
      </c>
    </row>
    <row r="57" spans="1:9">
      <c r="A57" s="18">
        <f>mem_dec!A57*mem_dec!A109</f>
        <v>42657</v>
      </c>
      <c r="B57" s="18">
        <f>mem_dec!B57*mem_dec!B109</f>
        <v>2079</v>
      </c>
      <c r="C57" s="18">
        <f>mem_dec!C57*mem_dec!C109</f>
        <v>51666</v>
      </c>
      <c r="D57" s="18">
        <f>mem_dec!D57*mem_dec!D109</f>
        <v>17578</v>
      </c>
      <c r="E57" s="30"/>
      <c r="F57" s="18">
        <f t="shared" si="0"/>
        <v>113980</v>
      </c>
    </row>
    <row r="58" spans="1:9">
      <c r="A58" s="18">
        <f>mem_dec!A58*mem_dec!A110</f>
        <v>14229</v>
      </c>
      <c r="B58" s="18">
        <f>mem_dec!B58*mem_dec!B110</f>
        <v>9636</v>
      </c>
      <c r="C58" s="18">
        <f>mem_dec!C58*mem_dec!C110</f>
        <v>14</v>
      </c>
      <c r="D58" s="18">
        <f>mem_dec!D58*mem_dec!D110</f>
        <v>0</v>
      </c>
      <c r="E58" s="30"/>
      <c r="F58" s="18">
        <f t="shared" si="0"/>
        <v>23879</v>
      </c>
    </row>
    <row r="59" spans="1:9">
      <c r="A59" s="18">
        <f>mem_dec!A59*mem_dec!A111</f>
        <v>7920</v>
      </c>
      <c r="B59" s="18">
        <f>mem_dec!B59*mem_dec!B111</f>
        <v>2970</v>
      </c>
      <c r="C59" s="18">
        <f>mem_dec!C59*mem_dec!C111</f>
        <v>7426</v>
      </c>
      <c r="D59" s="18">
        <f>mem_dec!D59*mem_dec!D111</f>
        <v>28405</v>
      </c>
      <c r="E59" s="30"/>
      <c r="F59" s="18">
        <f t="shared" si="0"/>
        <v>46721</v>
      </c>
    </row>
    <row r="60" spans="1:9">
      <c r="A60" s="18">
        <f>mem_dec!A60*mem_dec!A112</f>
        <v>8832</v>
      </c>
      <c r="B60" s="18">
        <f>mem_dec!B60*mem_dec!B112</f>
        <v>7008</v>
      </c>
      <c r="C60" s="18">
        <f>mem_dec!C60*mem_dec!C112</f>
        <v>17980</v>
      </c>
      <c r="D60" s="18">
        <f>mem_dec!D60*mem_dec!D112</f>
        <v>18172</v>
      </c>
      <c r="E60" s="31"/>
      <c r="F60" s="18">
        <f t="shared" si="0"/>
        <v>51992</v>
      </c>
    </row>
    <row r="61" spans="1:9">
      <c r="A61" s="17">
        <f>mem_dec!A61*mem_dec!A82</f>
        <v>14945</v>
      </c>
      <c r="B61" s="17">
        <f>mem_dec!B61*mem_dec!B82</f>
        <v>27324</v>
      </c>
      <c r="C61" s="17">
        <f>mem_dec!C61*mem_dec!C82</f>
        <v>17473</v>
      </c>
      <c r="D61" s="17">
        <f>mem_dec!D61*mem_dec!D82</f>
        <v>3900</v>
      </c>
      <c r="E61" s="29"/>
      <c r="F61" s="24">
        <f t="shared" si="0"/>
        <v>63642</v>
      </c>
      <c r="G61" s="20"/>
      <c r="H61" s="23">
        <v>1</v>
      </c>
      <c r="I61" s="23">
        <f>F61+F66+F71+F76</f>
        <v>250805</v>
      </c>
    </row>
    <row r="62" spans="1:9">
      <c r="A62" s="17">
        <f>mem_dec!A62*mem_dec!A83</f>
        <v>10296</v>
      </c>
      <c r="B62" s="17">
        <f>mem_dec!B62*mem_dec!B83</f>
        <v>3465</v>
      </c>
      <c r="C62" s="17">
        <f>mem_dec!C62*mem_dec!C83</f>
        <v>54366</v>
      </c>
      <c r="D62" s="17">
        <f>mem_dec!D62*mem_dec!D83</f>
        <v>7776</v>
      </c>
      <c r="E62" s="30"/>
      <c r="F62" s="24">
        <f t="shared" si="0"/>
        <v>75903</v>
      </c>
      <c r="H62" s="23">
        <v>2</v>
      </c>
      <c r="I62" s="23">
        <f>F62+F67+F72+F77</f>
        <v>273762</v>
      </c>
    </row>
    <row r="63" spans="1:9">
      <c r="A63" s="17">
        <f>mem_dec!A63*mem_dec!A84</f>
        <v>30551</v>
      </c>
      <c r="B63" s="17">
        <f>mem_dec!B63*mem_dec!B84</f>
        <v>34476</v>
      </c>
      <c r="C63" s="17">
        <f>mem_dec!C63*mem_dec!C84</f>
        <v>9060</v>
      </c>
      <c r="D63" s="17">
        <f>mem_dec!D63*mem_dec!D84</f>
        <v>13770</v>
      </c>
      <c r="E63" s="30"/>
      <c r="F63" s="24">
        <f t="shared" si="0"/>
        <v>87857</v>
      </c>
      <c r="H63" s="23">
        <v>3</v>
      </c>
      <c r="I63" s="23">
        <f>F63+F68+F73+F78</f>
        <v>373016</v>
      </c>
    </row>
    <row r="64" spans="1:9">
      <c r="A64" s="17">
        <f>mem_dec!A64*mem_dec!A85</f>
        <v>20497</v>
      </c>
      <c r="B64" s="17">
        <f>mem_dec!B64*mem_dec!B85</f>
        <v>22213</v>
      </c>
      <c r="C64" s="17">
        <f>mem_dec!C64*mem_dec!C85</f>
        <v>8840</v>
      </c>
      <c r="D64" s="17">
        <f>mem_dec!D64*mem_dec!D85</f>
        <v>357</v>
      </c>
      <c r="E64" s="30"/>
      <c r="F64" s="24">
        <f t="shared" si="0"/>
        <v>51907</v>
      </c>
      <c r="H64" s="23">
        <v>4</v>
      </c>
      <c r="I64" s="23">
        <f>F64+F69+F74+F79</f>
        <v>319689</v>
      </c>
    </row>
    <row r="65" spans="1:9">
      <c r="A65" s="17">
        <f>mem_dec!A65*mem_dec!A86</f>
        <v>5967</v>
      </c>
      <c r="B65" s="17">
        <f>mem_dec!B65*mem_dec!B86</f>
        <v>11536</v>
      </c>
      <c r="C65" s="17">
        <f>mem_dec!C65*mem_dec!C86</f>
        <v>31680</v>
      </c>
      <c r="D65" s="17">
        <f>mem_dec!D65*mem_dec!D86</f>
        <v>3933</v>
      </c>
      <c r="E65" s="30"/>
      <c r="F65" s="24">
        <f t="shared" si="0"/>
        <v>53116</v>
      </c>
      <c r="H65" s="23">
        <v>5</v>
      </c>
      <c r="I65" s="23">
        <f>F65+F70+F75+F80</f>
        <v>272231</v>
      </c>
    </row>
    <row r="66" spans="1:9">
      <c r="A66" s="18">
        <f>mem_dec!A66*mem_dec!A87</f>
        <v>13377</v>
      </c>
      <c r="B66" s="18">
        <f>mem_dec!B66*mem_dec!B87</f>
        <v>9078</v>
      </c>
      <c r="C66" s="18">
        <f>mem_dec!C66*mem_dec!C87</f>
        <v>18850</v>
      </c>
      <c r="D66" s="18">
        <f>mem_dec!D66*mem_dec!D87</f>
        <v>2640</v>
      </c>
      <c r="E66" s="30"/>
      <c r="F66" s="25">
        <f t="shared" ref="F66:F80" si="1">SUM(A66:D66)</f>
        <v>43945</v>
      </c>
      <c r="H66" s="23" t="s">
        <v>6</v>
      </c>
      <c r="I66" s="23">
        <f>SUM(I61:I65)</f>
        <v>1489503</v>
      </c>
    </row>
    <row r="67" spans="1:9">
      <c r="A67" s="18">
        <f>mem_dec!A67*mem_dec!A88</f>
        <v>16402</v>
      </c>
      <c r="B67" s="18">
        <f>mem_dec!B67*mem_dec!B88</f>
        <v>1443</v>
      </c>
      <c r="C67" s="18">
        <f>mem_dec!C67*mem_dec!C88</f>
        <v>9300</v>
      </c>
      <c r="D67" s="18">
        <f>mem_dec!D67*mem_dec!D88</f>
        <v>48777</v>
      </c>
      <c r="E67" s="30"/>
      <c r="F67" s="25">
        <f t="shared" si="1"/>
        <v>75922</v>
      </c>
    </row>
    <row r="68" spans="1:9">
      <c r="A68" s="18">
        <f>mem_dec!A68*mem_dec!A89</f>
        <v>53714</v>
      </c>
      <c r="B68" s="18">
        <f>mem_dec!B68*mem_dec!B89</f>
        <v>62985</v>
      </c>
      <c r="C68" s="18">
        <f>mem_dec!C68*mem_dec!C89</f>
        <v>9374</v>
      </c>
      <c r="D68" s="18">
        <f>mem_dec!D68*mem_dec!D89</f>
        <v>38640</v>
      </c>
      <c r="E68" s="30"/>
      <c r="F68" s="25">
        <f t="shared" si="1"/>
        <v>164713</v>
      </c>
    </row>
    <row r="69" spans="1:9">
      <c r="A69" s="18">
        <f>mem_dec!A69*mem_dec!A90</f>
        <v>1353</v>
      </c>
      <c r="B69" s="18">
        <f>mem_dec!B69*mem_dec!B90</f>
        <v>10120</v>
      </c>
      <c r="C69" s="18">
        <f>mem_dec!C69*mem_dec!C90</f>
        <v>312</v>
      </c>
      <c r="D69" s="18">
        <f>mem_dec!D69*mem_dec!D90</f>
        <v>3952</v>
      </c>
      <c r="E69" s="30"/>
      <c r="F69" s="25">
        <f t="shared" si="1"/>
        <v>15737</v>
      </c>
    </row>
    <row r="70" spans="1:9">
      <c r="A70" s="18">
        <f>mem_dec!A70*mem_dec!A91</f>
        <v>59750</v>
      </c>
      <c r="B70" s="18">
        <f>mem_dec!B70*mem_dec!B91</f>
        <v>14852</v>
      </c>
      <c r="C70" s="18">
        <f>mem_dec!C70*mem_dec!C91</f>
        <v>25480</v>
      </c>
      <c r="D70" s="18">
        <f>mem_dec!D70*mem_dec!D91</f>
        <v>0</v>
      </c>
      <c r="E70" s="30"/>
      <c r="F70" s="25">
        <f t="shared" si="1"/>
        <v>100082</v>
      </c>
    </row>
    <row r="71" spans="1:9">
      <c r="A71" s="17">
        <f>mem_dec!A71*mem_dec!A92</f>
        <v>11300</v>
      </c>
      <c r="B71" s="17">
        <f>mem_dec!B71*mem_dec!B92</f>
        <v>15400</v>
      </c>
      <c r="C71" s="17">
        <f>mem_dec!C71*mem_dec!C92</f>
        <v>10856</v>
      </c>
      <c r="D71" s="17">
        <f>mem_dec!D71*mem_dec!D92</f>
        <v>18088</v>
      </c>
      <c r="E71" s="30"/>
      <c r="F71" s="24">
        <f t="shared" si="1"/>
        <v>55644</v>
      </c>
    </row>
    <row r="72" spans="1:9">
      <c r="A72" s="17">
        <f>mem_dec!A72*mem_dec!A93</f>
        <v>44520</v>
      </c>
      <c r="B72" s="17">
        <f>mem_dec!B72*mem_dec!B93</f>
        <v>1870</v>
      </c>
      <c r="C72" s="17">
        <f>mem_dec!C72*mem_dec!C93</f>
        <v>15594</v>
      </c>
      <c r="D72" s="17">
        <f>mem_dec!D72*mem_dec!D93</f>
        <v>11200</v>
      </c>
      <c r="E72" s="30"/>
      <c r="F72" s="24">
        <f t="shared" si="1"/>
        <v>73184</v>
      </c>
    </row>
    <row r="73" spans="1:9">
      <c r="A73" s="17">
        <f>mem_dec!A73*mem_dec!A94</f>
        <v>6669</v>
      </c>
      <c r="B73" s="17">
        <f>mem_dec!B73*mem_dec!B94</f>
        <v>450</v>
      </c>
      <c r="C73" s="17">
        <f>mem_dec!C73*mem_dec!C94</f>
        <v>612</v>
      </c>
      <c r="D73" s="17">
        <f>mem_dec!D73*mem_dec!D94</f>
        <v>25760</v>
      </c>
      <c r="E73" s="30"/>
      <c r="F73" s="24">
        <f t="shared" si="1"/>
        <v>33491</v>
      </c>
    </row>
    <row r="74" spans="1:9">
      <c r="A74" s="17">
        <f>mem_dec!A74*mem_dec!A95</f>
        <v>37750</v>
      </c>
      <c r="B74" s="17">
        <f>mem_dec!B74*mem_dec!B95</f>
        <v>5516</v>
      </c>
      <c r="C74" s="17">
        <f>mem_dec!C74*mem_dec!C95</f>
        <v>62500</v>
      </c>
      <c r="D74" s="17">
        <f>mem_dec!D74*mem_dec!D95</f>
        <v>46230</v>
      </c>
      <c r="E74" s="30"/>
      <c r="F74" s="24">
        <f t="shared" si="1"/>
        <v>151996</v>
      </c>
    </row>
    <row r="75" spans="1:9">
      <c r="A75" s="17">
        <f>mem_dec!A75*mem_dec!A96</f>
        <v>23653</v>
      </c>
      <c r="B75" s="17">
        <f>mem_dec!B75*mem_dec!B96</f>
        <v>33180</v>
      </c>
      <c r="C75" s="17">
        <f>mem_dec!C75*mem_dec!C96</f>
        <v>5520</v>
      </c>
      <c r="D75" s="17">
        <f>mem_dec!D75*mem_dec!D96</f>
        <v>6365</v>
      </c>
      <c r="E75" s="30"/>
      <c r="F75" s="24">
        <f t="shared" si="1"/>
        <v>68718</v>
      </c>
    </row>
    <row r="76" spans="1:9">
      <c r="A76" s="18">
        <f>mem_dec!A76*mem_dec!A97</f>
        <v>59280</v>
      </c>
      <c r="B76" s="18">
        <f>mem_dec!B76*mem_dec!B97</f>
        <v>18532</v>
      </c>
      <c r="C76" s="18">
        <f>mem_dec!C76*mem_dec!C97</f>
        <v>390</v>
      </c>
      <c r="D76" s="18">
        <f>mem_dec!D76*mem_dec!D97</f>
        <v>9372</v>
      </c>
      <c r="E76" s="30"/>
      <c r="F76" s="25">
        <f t="shared" si="1"/>
        <v>87574</v>
      </c>
    </row>
    <row r="77" spans="1:9">
      <c r="A77" s="18">
        <f>mem_dec!A77*mem_dec!A98</f>
        <v>2608</v>
      </c>
      <c r="B77" s="18">
        <f>mem_dec!B77*mem_dec!B98</f>
        <v>16870</v>
      </c>
      <c r="C77" s="18">
        <f>mem_dec!C77*mem_dec!C98</f>
        <v>16375</v>
      </c>
      <c r="D77" s="18">
        <f>mem_dec!D77*mem_dec!D98</f>
        <v>12900</v>
      </c>
      <c r="E77" s="30"/>
      <c r="F77" s="25">
        <f t="shared" si="1"/>
        <v>48753</v>
      </c>
    </row>
    <row r="78" spans="1:9">
      <c r="A78" s="18">
        <f>mem_dec!A78*mem_dec!A99</f>
        <v>32178</v>
      </c>
      <c r="B78" s="18">
        <f>mem_dec!B78*mem_dec!B99</f>
        <v>47600</v>
      </c>
      <c r="C78" s="18">
        <f>mem_dec!C78*mem_dec!C99</f>
        <v>105</v>
      </c>
      <c r="D78" s="18">
        <f>mem_dec!D78*mem_dec!D99</f>
        <v>7072</v>
      </c>
      <c r="E78" s="30"/>
      <c r="F78" s="25">
        <f t="shared" si="1"/>
        <v>86955</v>
      </c>
    </row>
    <row r="79" spans="1:9">
      <c r="A79" s="18">
        <f>mem_dec!A79*mem_dec!A100</f>
        <v>41065</v>
      </c>
      <c r="B79" s="18">
        <f>mem_dec!B79*mem_dec!B100</f>
        <v>5133</v>
      </c>
      <c r="C79" s="18">
        <f>mem_dec!C79*mem_dec!C100</f>
        <v>45136</v>
      </c>
      <c r="D79" s="18">
        <f>mem_dec!D79*mem_dec!D100</f>
        <v>8715</v>
      </c>
      <c r="E79" s="30"/>
      <c r="F79" s="25">
        <f t="shared" si="1"/>
        <v>100049</v>
      </c>
    </row>
    <row r="80" spans="1:9">
      <c r="A80" s="18">
        <f>mem_dec!A80*mem_dec!A101</f>
        <v>3024</v>
      </c>
      <c r="B80" s="18">
        <f>mem_dec!B80*mem_dec!B101</f>
        <v>1701</v>
      </c>
      <c r="C80" s="18">
        <f>mem_dec!C80*mem_dec!C101</f>
        <v>20492</v>
      </c>
      <c r="D80" s="18">
        <f>mem_dec!D80*mem_dec!D101</f>
        <v>25098</v>
      </c>
      <c r="E80" s="31"/>
      <c r="F80" s="25">
        <f t="shared" si="1"/>
        <v>50315</v>
      </c>
    </row>
  </sheetData>
  <mergeCells count="4">
    <mergeCell ref="E1:E20"/>
    <mergeCell ref="E21:E40"/>
    <mergeCell ref="E41:E60"/>
    <mergeCell ref="E61:E8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A20BD-0F9A-4D9F-BA35-29DF0C254154}">
  <dimension ref="A1:I80"/>
  <sheetViews>
    <sheetView topLeftCell="A56" workbookViewId="0">
      <selection activeCell="H61" sqref="H61:I66"/>
    </sheetView>
  </sheetViews>
  <sheetFormatPr defaultRowHeight="14.25"/>
  <cols>
    <col min="10" max="10" width="6.375" bestFit="1" customWidth="1"/>
  </cols>
  <sheetData>
    <row r="1" spans="1:9">
      <c r="A1" s="17" t="str">
        <f>DEC2HEX(out_col1!A1)</f>
        <v>29F</v>
      </c>
      <c r="B1" s="17" t="str">
        <f>DEC2HEX(out_col1!B1)</f>
        <v>57A8</v>
      </c>
      <c r="C1" s="17" t="str">
        <f>DEC2HEX(out_col1!C1)</f>
        <v>9DD</v>
      </c>
      <c r="D1" s="17" t="str">
        <f>DEC2HEX(out_col1!D1)</f>
        <v>820</v>
      </c>
      <c r="E1" s="28"/>
      <c r="F1" s="17" t="str">
        <f>DEC2HEX(out_col1!F1)</f>
        <v>6C44</v>
      </c>
      <c r="H1" s="23">
        <v>1</v>
      </c>
      <c r="I1" s="23" t="str">
        <f>DEC2HEX(out_col1!I1)</f>
        <v>2FA27</v>
      </c>
    </row>
    <row r="2" spans="1:9">
      <c r="A2" s="17" t="str">
        <f>DEC2HEX(out_col1!A2)</f>
        <v>1506</v>
      </c>
      <c r="B2" s="17" t="str">
        <f>DEC2HEX(out_col1!B2)</f>
        <v>24BD</v>
      </c>
      <c r="C2" s="17" t="str">
        <f>DEC2HEX(out_col1!C2)</f>
        <v>A24C</v>
      </c>
      <c r="D2" s="17" t="str">
        <f>DEC2HEX(out_col1!D2)</f>
        <v>3888</v>
      </c>
      <c r="E2" s="28"/>
      <c r="F2" s="17" t="str">
        <f>DEC2HEX(out_col1!F2)</f>
        <v>11497</v>
      </c>
      <c r="H2" s="23">
        <v>2</v>
      </c>
      <c r="I2" s="23" t="str">
        <f>DEC2HEX(out_col1!I2)</f>
        <v>51A83</v>
      </c>
    </row>
    <row r="3" spans="1:9">
      <c r="A3" s="17" t="str">
        <f>DEC2HEX(out_col1!A3)</f>
        <v>167A</v>
      </c>
      <c r="B3" s="17" t="str">
        <f>DEC2HEX(out_col1!B3)</f>
        <v>4CC8</v>
      </c>
      <c r="C3" s="17" t="str">
        <f>DEC2HEX(out_col1!C3)</f>
        <v>5E60</v>
      </c>
      <c r="D3" s="17" t="str">
        <f>DEC2HEX(out_col1!D3)</f>
        <v>5514</v>
      </c>
      <c r="E3" s="28"/>
      <c r="F3" s="17" t="str">
        <f>DEC2HEX(out_col1!F3)</f>
        <v>116B6</v>
      </c>
      <c r="H3" s="23">
        <v>3</v>
      </c>
      <c r="I3" s="23" t="str">
        <f>DEC2HEX(out_col1!I3)</f>
        <v>4CFD3</v>
      </c>
    </row>
    <row r="4" spans="1:9">
      <c r="A4" s="17" t="str">
        <f>DEC2HEX(out_col1!A4)</f>
        <v>954</v>
      </c>
      <c r="B4" s="17" t="str">
        <f>DEC2HEX(out_col1!B4)</f>
        <v>C77B</v>
      </c>
      <c r="C4" s="17" t="str">
        <f>DEC2HEX(out_col1!C4)</f>
        <v>5588</v>
      </c>
      <c r="D4" s="17" t="str">
        <f>DEC2HEX(out_col1!D4)</f>
        <v>4455</v>
      </c>
      <c r="E4" s="28"/>
      <c r="F4" s="17" t="str">
        <f>DEC2HEX(out_col1!F4)</f>
        <v>16AAC</v>
      </c>
      <c r="H4" s="23">
        <v>4</v>
      </c>
      <c r="I4" s="23" t="str">
        <f>DEC2HEX(out_col1!I4)</f>
        <v>4BCC9</v>
      </c>
    </row>
    <row r="5" spans="1:9">
      <c r="A5" s="17" t="str">
        <f>DEC2HEX(out_col1!A5)</f>
        <v>75</v>
      </c>
      <c r="B5" s="17" t="str">
        <f>DEC2HEX(out_col1!B5)</f>
        <v>5A20</v>
      </c>
      <c r="C5" s="17" t="str">
        <f>DEC2HEX(out_col1!C5)</f>
        <v>2910</v>
      </c>
      <c r="D5" s="17" t="str">
        <f>DEC2HEX(out_col1!D5)</f>
        <v>AB0</v>
      </c>
      <c r="E5" s="28"/>
      <c r="F5" s="17" t="str">
        <f>DEC2HEX(out_col1!F5)</f>
        <v>8E55</v>
      </c>
      <c r="H5" s="23">
        <v>5</v>
      </c>
      <c r="I5" s="23" t="str">
        <f>DEC2HEX(out_col1!I5)</f>
        <v>43F3D</v>
      </c>
    </row>
    <row r="6" spans="1:9">
      <c r="A6" s="17" t="str">
        <f>DEC2HEX(out_col1!A6)</f>
        <v>1AE8</v>
      </c>
      <c r="B6" s="17" t="str">
        <f>DEC2HEX(out_col1!B6)</f>
        <v>9740</v>
      </c>
      <c r="C6" s="17" t="str">
        <f>DEC2HEX(out_col1!C6)</f>
        <v>89B8</v>
      </c>
      <c r="D6" s="17" t="str">
        <f>DEC2HEX(out_col1!D6)</f>
        <v>10A</v>
      </c>
      <c r="E6" s="28"/>
      <c r="F6" s="17" t="str">
        <f>DEC2HEX(out_col1!F6)</f>
        <v>13CEA</v>
      </c>
      <c r="H6" s="26" t="s">
        <v>6</v>
      </c>
      <c r="I6" s="23" t="str">
        <f>DEC2HEX(out_col1!I6)</f>
        <v>15E083</v>
      </c>
    </row>
    <row r="7" spans="1:9">
      <c r="A7" s="17" t="str">
        <f>DEC2HEX(out_col1!A7)</f>
        <v>D5CB</v>
      </c>
      <c r="B7" s="17" t="str">
        <f>DEC2HEX(out_col1!B7)</f>
        <v>2D0E</v>
      </c>
      <c r="C7" s="17" t="str">
        <f>DEC2HEX(out_col1!C7)</f>
        <v>79BC</v>
      </c>
      <c r="D7" s="17" t="str">
        <f>DEC2HEX(out_col1!D7)</f>
        <v>2553</v>
      </c>
      <c r="E7" s="28"/>
      <c r="F7" s="17" t="str">
        <f>DEC2HEX(out_col1!F7)</f>
        <v>1A1E8</v>
      </c>
    </row>
    <row r="8" spans="1:9">
      <c r="A8" s="17" t="str">
        <f>DEC2HEX(out_col1!A8)</f>
        <v>3A44</v>
      </c>
      <c r="B8" s="17" t="str">
        <f>DEC2HEX(out_col1!B8)</f>
        <v>800C</v>
      </c>
      <c r="C8" s="17" t="str">
        <f>DEC2HEX(out_col1!C8)</f>
        <v>97A8</v>
      </c>
      <c r="D8" s="17" t="str">
        <f>DEC2HEX(out_col1!D8)</f>
        <v>1C0E</v>
      </c>
      <c r="E8" s="28"/>
      <c r="F8" s="17" t="str">
        <f>DEC2HEX(out_col1!F8)</f>
        <v>16E06</v>
      </c>
    </row>
    <row r="9" spans="1:9">
      <c r="A9" s="17" t="str">
        <f>DEC2HEX(out_col1!A9)</f>
        <v>239C</v>
      </c>
      <c r="B9" s="17" t="str">
        <f>DEC2HEX(out_col1!B9)</f>
        <v>42F</v>
      </c>
      <c r="C9" s="17" t="str">
        <f>DEC2HEX(out_col1!C9)</f>
        <v>26D0</v>
      </c>
      <c r="D9" s="17" t="str">
        <f>DEC2HEX(out_col1!D9)</f>
        <v>3090</v>
      </c>
      <c r="E9" s="28"/>
      <c r="F9" s="17" t="str">
        <f>DEC2HEX(out_col1!F9)</f>
        <v>7F2B</v>
      </c>
    </row>
    <row r="10" spans="1:9">
      <c r="A10" s="17" t="str">
        <f>DEC2HEX(out_col1!A10)</f>
        <v>743A</v>
      </c>
      <c r="B10" s="17" t="str">
        <f>DEC2HEX(out_col1!B10)</f>
        <v>774</v>
      </c>
      <c r="C10" s="17" t="str">
        <f>DEC2HEX(out_col1!C10)</f>
        <v>354</v>
      </c>
      <c r="D10" s="17" t="str">
        <f>DEC2HEX(out_col1!D10)</f>
        <v>3EE4</v>
      </c>
      <c r="E10" s="28"/>
      <c r="F10" s="17" t="str">
        <f>DEC2HEX(out_col1!F10)</f>
        <v>BDE6</v>
      </c>
    </row>
    <row r="11" spans="1:9">
      <c r="A11" s="17" t="str">
        <f>DEC2HEX(out_col1!A11)</f>
        <v>A00</v>
      </c>
      <c r="B11" s="17" t="str">
        <f>DEC2HEX(out_col1!B11)</f>
        <v>4F14</v>
      </c>
      <c r="C11" s="17" t="str">
        <f>DEC2HEX(out_col1!C11)</f>
        <v>286D</v>
      </c>
      <c r="D11" s="17" t="str">
        <f>DEC2HEX(out_col1!D11)</f>
        <v>E1C</v>
      </c>
      <c r="E11" s="28"/>
      <c r="F11" s="17" t="str">
        <f>DEC2HEX(out_col1!F11)</f>
        <v>8F9D</v>
      </c>
    </row>
    <row r="12" spans="1:9">
      <c r="A12" s="17" t="str">
        <f>DEC2HEX(out_col1!A12)</f>
        <v>B08E</v>
      </c>
      <c r="B12" s="17" t="str">
        <f>DEC2HEX(out_col1!B12)</f>
        <v>60B0</v>
      </c>
      <c r="C12" s="17" t="str">
        <f>DEC2HEX(out_col1!C12)</f>
        <v>2D</v>
      </c>
      <c r="D12" s="17" t="str">
        <f>DEC2HEX(out_col1!D12)</f>
        <v>3C20</v>
      </c>
      <c r="E12" s="28"/>
      <c r="F12" s="17" t="str">
        <f>DEC2HEX(out_col1!F12)</f>
        <v>14D8B</v>
      </c>
    </row>
    <row r="13" spans="1:9">
      <c r="A13" s="17" t="str">
        <f>DEC2HEX(out_col1!A13)</f>
        <v>4FD5</v>
      </c>
      <c r="B13" s="17" t="str">
        <f>DEC2HEX(out_col1!B13)</f>
        <v>828</v>
      </c>
      <c r="C13" s="17" t="str">
        <f>DEC2HEX(out_col1!C13)</f>
        <v>9BF8</v>
      </c>
      <c r="D13" s="17" t="str">
        <f>DEC2HEX(out_col1!D13)</f>
        <v>189C</v>
      </c>
      <c r="E13" s="28"/>
      <c r="F13" s="17" t="str">
        <f>DEC2HEX(out_col1!F13)</f>
        <v>10C91</v>
      </c>
    </row>
    <row r="14" spans="1:9">
      <c r="A14" s="17" t="str">
        <f>DEC2HEX(out_col1!A14)</f>
        <v>6A50</v>
      </c>
      <c r="B14" s="17" t="str">
        <f>DEC2HEX(out_col1!B14)</f>
        <v>81F</v>
      </c>
      <c r="C14" s="17" t="str">
        <f>DEC2HEX(out_col1!C14)</f>
        <v>239E</v>
      </c>
      <c r="D14" s="17" t="str">
        <f>DEC2HEX(out_col1!D14)</f>
        <v>3426</v>
      </c>
      <c r="E14" s="28"/>
      <c r="F14" s="17" t="str">
        <f>DEC2HEX(out_col1!F14)</f>
        <v>CA33</v>
      </c>
    </row>
    <row r="15" spans="1:9">
      <c r="A15" s="17" t="str">
        <f>DEC2HEX(out_col1!A15)</f>
        <v>37C2</v>
      </c>
      <c r="B15" s="17" t="str">
        <f>DEC2HEX(out_col1!B15)</f>
        <v>8820</v>
      </c>
      <c r="C15" s="17" t="str">
        <f>DEC2HEX(out_col1!C15)</f>
        <v>C4B6</v>
      </c>
      <c r="D15" s="17" t="str">
        <f>DEC2HEX(out_col1!D15)</f>
        <v>25CC</v>
      </c>
      <c r="E15" s="28"/>
      <c r="F15" s="17" t="str">
        <f>DEC2HEX(out_col1!F15)</f>
        <v>1AA64</v>
      </c>
    </row>
    <row r="16" spans="1:9">
      <c r="A16" s="17" t="str">
        <f>DEC2HEX(out_col1!A16)</f>
        <v>4542</v>
      </c>
      <c r="B16" s="17" t="str">
        <f>DEC2HEX(out_col1!B16)</f>
        <v>4AB0</v>
      </c>
      <c r="C16" s="17" t="str">
        <f>DEC2HEX(out_col1!C16)</f>
        <v>29A</v>
      </c>
      <c r="D16" s="17" t="str">
        <f>DEC2HEX(out_col1!D16)</f>
        <v>2ED0</v>
      </c>
      <c r="E16" s="28"/>
      <c r="F16" s="17" t="str">
        <f>DEC2HEX(out_col1!F16)</f>
        <v>C15C</v>
      </c>
    </row>
    <row r="17" spans="1:9">
      <c r="A17" s="17" t="str">
        <f>DEC2HEX(out_col1!A17)</f>
        <v>4754</v>
      </c>
      <c r="B17" s="17" t="str">
        <f>DEC2HEX(out_col1!B17)</f>
        <v>3B10</v>
      </c>
      <c r="C17" s="17" t="str">
        <f>DEC2HEX(out_col1!C17)</f>
        <v>2AA8</v>
      </c>
      <c r="D17" s="17" t="str">
        <f>DEC2HEX(out_col1!D17)</f>
        <v>696D</v>
      </c>
      <c r="E17" s="28"/>
      <c r="F17" s="17" t="str">
        <f>DEC2HEX(out_col1!F17)</f>
        <v>11679</v>
      </c>
    </row>
    <row r="18" spans="1:9">
      <c r="A18" s="17" t="str">
        <f>DEC2HEX(out_col1!A18)</f>
        <v>804</v>
      </c>
      <c r="B18" s="17" t="str">
        <f>DEC2HEX(out_col1!B18)</f>
        <v>DC56</v>
      </c>
      <c r="C18" s="17" t="str">
        <f>DEC2HEX(out_col1!C18)</f>
        <v>4C12</v>
      </c>
      <c r="D18" s="17" t="str">
        <f>DEC2HEX(out_col1!D18)</f>
        <v>E1A</v>
      </c>
      <c r="E18" s="28"/>
      <c r="F18" s="17" t="str">
        <f>DEC2HEX(out_col1!F18)</f>
        <v>13E86</v>
      </c>
    </row>
    <row r="19" spans="1:9">
      <c r="A19" s="17" t="str">
        <f>DEC2HEX(out_col1!A19)</f>
        <v>D977</v>
      </c>
      <c r="B19" s="17" t="str">
        <f>DEC2HEX(out_col1!B19)</f>
        <v>1734</v>
      </c>
      <c r="C19" s="17" t="str">
        <f>DEC2HEX(out_col1!C19)</f>
        <v>C228</v>
      </c>
      <c r="D19" s="17" t="str">
        <f>DEC2HEX(out_col1!D19)</f>
        <v>55EC</v>
      </c>
      <c r="E19" s="28"/>
      <c r="F19" s="17" t="str">
        <f>DEC2HEX(out_col1!F19)</f>
        <v>208BF</v>
      </c>
    </row>
    <row r="20" spans="1:9">
      <c r="A20" s="17" t="str">
        <f>DEC2HEX(out_col1!A20)</f>
        <v>4A1C</v>
      </c>
      <c r="B20" s="17" t="str">
        <f>DEC2HEX(out_col1!B20)</f>
        <v>7488</v>
      </c>
      <c r="C20" s="17" t="str">
        <f>DEC2HEX(out_col1!C20)</f>
        <v>33A</v>
      </c>
      <c r="D20" s="17" t="str">
        <f>DEC2HEX(out_col1!D20)</f>
        <v>86C0</v>
      </c>
      <c r="E20" s="28"/>
      <c r="F20" s="17" t="str">
        <f>DEC2HEX(out_col1!F20)</f>
        <v>1489E</v>
      </c>
    </row>
    <row r="21" spans="1:9">
      <c r="A21" s="17" t="str">
        <f>DEC2HEX(out_col1!A21)</f>
        <v>AE1B</v>
      </c>
      <c r="B21" s="17" t="str">
        <f>DEC2HEX(out_col1!B21)</f>
        <v>7FAB</v>
      </c>
      <c r="C21" s="17" t="str">
        <f>DEC2HEX(out_col1!C21)</f>
        <v>10A4</v>
      </c>
      <c r="D21" s="17" t="str">
        <f>DEC2HEX(out_col1!D21)</f>
        <v>AB48</v>
      </c>
      <c r="E21" s="29"/>
      <c r="F21" s="17" t="str">
        <f>DEC2HEX(out_col1!F21)</f>
        <v>1E9B2</v>
      </c>
      <c r="G21" s="20"/>
      <c r="H21" s="23">
        <v>1</v>
      </c>
      <c r="I21" s="23" t="str">
        <f>DEC2HEX(out_col1!I21)</f>
        <v>3EC3E</v>
      </c>
    </row>
    <row r="22" spans="1:9">
      <c r="A22" s="17" t="str">
        <f>DEC2HEX(out_col1!A22)</f>
        <v>3BCF</v>
      </c>
      <c r="B22" s="17" t="str">
        <f>DEC2HEX(out_col1!B22)</f>
        <v>6408</v>
      </c>
      <c r="C22" s="17" t="str">
        <f>DEC2HEX(out_col1!C22)</f>
        <v>2D5F</v>
      </c>
      <c r="D22" s="17" t="str">
        <f>DEC2HEX(out_col1!D22)</f>
        <v>54CE</v>
      </c>
      <c r="E22" s="30"/>
      <c r="F22" s="17" t="str">
        <f>DEC2HEX(out_col1!F22)</f>
        <v>12204</v>
      </c>
      <c r="H22" s="23">
        <v>2</v>
      </c>
      <c r="I22" s="23" t="str">
        <f>DEC2HEX(out_col1!I22)</f>
        <v>4B976</v>
      </c>
    </row>
    <row r="23" spans="1:9">
      <c r="A23" s="17" t="str">
        <f>DEC2HEX(out_col1!A23)</f>
        <v>42BA</v>
      </c>
      <c r="B23" s="17" t="str">
        <f>DEC2HEX(out_col1!B23)</f>
        <v>2C42</v>
      </c>
      <c r="C23" s="17" t="str">
        <f>DEC2HEX(out_col1!C23)</f>
        <v>97F0</v>
      </c>
      <c r="D23" s="17" t="str">
        <f>DEC2HEX(out_col1!D23)</f>
        <v>2520</v>
      </c>
      <c r="E23" s="30"/>
      <c r="F23" s="17" t="str">
        <f>DEC2HEX(out_col1!F23)</f>
        <v>12C0C</v>
      </c>
      <c r="H23" s="23">
        <v>3</v>
      </c>
      <c r="I23" s="23" t="str">
        <f>DEC2HEX(out_col1!I23)</f>
        <v>459DA</v>
      </c>
    </row>
    <row r="24" spans="1:9">
      <c r="A24" s="17" t="str">
        <f>DEC2HEX(out_col1!A24)</f>
        <v>61EF</v>
      </c>
      <c r="B24" s="17" t="str">
        <f>DEC2HEX(out_col1!B24)</f>
        <v>46B0</v>
      </c>
      <c r="C24" s="17" t="str">
        <f>DEC2HEX(out_col1!C24)</f>
        <v>77BD</v>
      </c>
      <c r="D24" s="17" t="str">
        <f>DEC2HEX(out_col1!D24)</f>
        <v>1A04</v>
      </c>
      <c r="E24" s="30"/>
      <c r="F24" s="17" t="str">
        <f>DEC2HEX(out_col1!F24)</f>
        <v>13A60</v>
      </c>
      <c r="H24" s="23">
        <v>4</v>
      </c>
      <c r="I24" s="23" t="str">
        <f>DEC2HEX(out_col1!I24)</f>
        <v>42EC2</v>
      </c>
    </row>
    <row r="25" spans="1:9">
      <c r="A25" s="17" t="str">
        <f>DEC2HEX(out_col1!A25)</f>
        <v>92EB</v>
      </c>
      <c r="B25" s="17" t="str">
        <f>DEC2HEX(out_col1!B25)</f>
        <v>1CA0</v>
      </c>
      <c r="C25" s="17" t="str">
        <f>DEC2HEX(out_col1!C25)</f>
        <v>3520</v>
      </c>
      <c r="D25" s="17" t="str">
        <f>DEC2HEX(out_col1!D25)</f>
        <v>6215</v>
      </c>
      <c r="E25" s="30"/>
      <c r="F25" s="17" t="str">
        <f>DEC2HEX(out_col1!F25)</f>
        <v>146C0</v>
      </c>
      <c r="H25" s="23">
        <v>5</v>
      </c>
      <c r="I25" s="23" t="str">
        <f>DEC2HEX(out_col1!I25)</f>
        <v>3E50F</v>
      </c>
    </row>
    <row r="26" spans="1:9">
      <c r="A26" s="17" t="str">
        <f>DEC2HEX(out_col1!A26)</f>
        <v>334</v>
      </c>
      <c r="B26" s="17" t="str">
        <f>DEC2HEX(out_col1!B26)</f>
        <v>3994</v>
      </c>
      <c r="C26" s="17" t="str">
        <f>DEC2HEX(out_col1!C26)</f>
        <v>CCC</v>
      </c>
      <c r="D26" s="17" t="str">
        <f>DEC2HEX(out_col1!D26)</f>
        <v>BF3</v>
      </c>
      <c r="E26" s="30"/>
      <c r="F26" s="17" t="str">
        <f>DEC2HEX(out_col1!F26)</f>
        <v>5587</v>
      </c>
      <c r="H26" s="26" t="s">
        <v>6</v>
      </c>
      <c r="I26" s="23" t="str">
        <f>DEC2HEX(out_col1!I26)</f>
        <v>15135F</v>
      </c>
    </row>
    <row r="27" spans="1:9">
      <c r="A27" s="17" t="str">
        <f>DEC2HEX(out_col1!A27)</f>
        <v>C7CA</v>
      </c>
      <c r="B27" s="17" t="str">
        <f>DEC2HEX(out_col1!B27)</f>
        <v>2EE8</v>
      </c>
      <c r="C27" s="17" t="str">
        <f>DEC2HEX(out_col1!C27)</f>
        <v>A314</v>
      </c>
      <c r="D27" s="17" t="str">
        <f>DEC2HEX(out_col1!D27)</f>
        <v>B6</v>
      </c>
      <c r="E27" s="30"/>
      <c r="F27" s="17" t="str">
        <f>DEC2HEX(out_col1!F27)</f>
        <v>19A7C</v>
      </c>
    </row>
    <row r="28" spans="1:9">
      <c r="A28" s="17" t="str">
        <f>DEC2HEX(out_col1!A28)</f>
        <v>5684</v>
      </c>
      <c r="B28" s="17" t="str">
        <f>DEC2HEX(out_col1!B28)</f>
        <v>8458</v>
      </c>
      <c r="C28" s="17" t="str">
        <f>DEC2HEX(out_col1!C28)</f>
        <v>42D8</v>
      </c>
      <c r="D28" s="17" t="str">
        <f>DEC2HEX(out_col1!D28)</f>
        <v>4837</v>
      </c>
      <c r="E28" s="30"/>
      <c r="F28" s="17" t="str">
        <f>DEC2HEX(out_col1!F28)</f>
        <v>165EB</v>
      </c>
    </row>
    <row r="29" spans="1:9">
      <c r="A29" s="17" t="str">
        <f>DEC2HEX(out_col1!A29)</f>
        <v>A17C</v>
      </c>
      <c r="B29" s="17" t="str">
        <f>DEC2HEX(out_col1!B29)</f>
        <v>B5B</v>
      </c>
      <c r="C29" s="17" t="str">
        <f>DEC2HEX(out_col1!C29)</f>
        <v>5EE</v>
      </c>
      <c r="D29" s="17" t="str">
        <f>DEC2HEX(out_col1!D29)</f>
        <v>4050</v>
      </c>
      <c r="E29" s="30"/>
      <c r="F29" s="17" t="str">
        <f>DEC2HEX(out_col1!F29)</f>
        <v>F315</v>
      </c>
    </row>
    <row r="30" spans="1:9">
      <c r="A30" s="17" t="str">
        <f>DEC2HEX(out_col1!A30)</f>
        <v>9249</v>
      </c>
      <c r="B30" s="17" t="str">
        <f>DEC2HEX(out_col1!B30)</f>
        <v>FF6</v>
      </c>
      <c r="C30" s="17" t="str">
        <f>DEC2HEX(out_col1!C30)</f>
        <v>1B0</v>
      </c>
      <c r="D30" s="17" t="str">
        <f>DEC2HEX(out_col1!D30)</f>
        <v>1F2C</v>
      </c>
      <c r="E30" s="30"/>
      <c r="F30" s="17" t="str">
        <f>DEC2HEX(out_col1!F30)</f>
        <v>C31B</v>
      </c>
    </row>
    <row r="31" spans="1:9">
      <c r="A31" s="17" t="str">
        <f>DEC2HEX(out_col1!A31)</f>
        <v>1D10</v>
      </c>
      <c r="B31" s="17" t="str">
        <f>DEC2HEX(out_col1!B31)</f>
        <v>1DC0</v>
      </c>
      <c r="C31" s="17" t="str">
        <f>DEC2HEX(out_col1!C31)</f>
        <v>9F</v>
      </c>
      <c r="D31" s="17" t="str">
        <f>DEC2HEX(out_col1!D31)</f>
        <v>34D0</v>
      </c>
      <c r="E31" s="30"/>
      <c r="F31" s="17" t="str">
        <f>DEC2HEX(out_col1!F31)</f>
        <v>703F</v>
      </c>
    </row>
    <row r="32" spans="1:9">
      <c r="A32" s="17" t="str">
        <f>DEC2HEX(out_col1!A32)</f>
        <v>52D1</v>
      </c>
      <c r="B32" s="17" t="str">
        <f>DEC2HEX(out_col1!B32)</f>
        <v>50E2</v>
      </c>
      <c r="C32" s="17" t="str">
        <f>DEC2HEX(out_col1!C32)</f>
        <v>49A0</v>
      </c>
      <c r="D32" s="17" t="str">
        <f>DEC2HEX(out_col1!D32)</f>
        <v>1B58</v>
      </c>
      <c r="E32" s="30"/>
      <c r="F32" s="17" t="str">
        <f>DEC2HEX(out_col1!F32)</f>
        <v>108AB</v>
      </c>
    </row>
    <row r="33" spans="1:9">
      <c r="A33" s="17" t="str">
        <f>DEC2HEX(out_col1!A33)</f>
        <v>1A40</v>
      </c>
      <c r="B33" s="17" t="str">
        <f>DEC2HEX(out_col1!B33)</f>
        <v>124B</v>
      </c>
      <c r="C33" s="17" t="str">
        <f>DEC2HEX(out_col1!C33)</f>
        <v>239E</v>
      </c>
      <c r="D33" s="17" t="str">
        <f>DEC2HEX(out_col1!D33)</f>
        <v>49B4</v>
      </c>
      <c r="E33" s="30"/>
      <c r="F33" s="17" t="str">
        <f>DEC2HEX(out_col1!F33)</f>
        <v>99DD</v>
      </c>
    </row>
    <row r="34" spans="1:9">
      <c r="A34" s="17" t="str">
        <f>DEC2HEX(out_col1!A34)</f>
        <v>16E</v>
      </c>
      <c r="B34" s="17" t="str">
        <f>DEC2HEX(out_col1!B34)</f>
        <v>8430</v>
      </c>
      <c r="C34" s="17" t="str">
        <f>DEC2HEX(out_col1!C34)</f>
        <v>2578</v>
      </c>
      <c r="D34" s="17" t="str">
        <f>DEC2HEX(out_col1!D34)</f>
        <v>5E2C</v>
      </c>
      <c r="E34" s="30"/>
      <c r="F34" s="17" t="str">
        <f>DEC2HEX(out_col1!F34)</f>
        <v>10942</v>
      </c>
    </row>
    <row r="35" spans="1:9">
      <c r="A35" s="17" t="str">
        <f>DEC2HEX(out_col1!A35)</f>
        <v>7995</v>
      </c>
      <c r="B35" s="17" t="str">
        <f>DEC2HEX(out_col1!B35)</f>
        <v>1458</v>
      </c>
      <c r="C35" s="17" t="str">
        <f>DEC2HEX(out_col1!C35)</f>
        <v>C60</v>
      </c>
      <c r="D35" s="17" t="str">
        <f>DEC2HEX(out_col1!D35)</f>
        <v>447</v>
      </c>
      <c r="E35" s="30"/>
      <c r="F35" s="17" t="str">
        <f>DEC2HEX(out_col1!F35)</f>
        <v>9E94</v>
      </c>
    </row>
    <row r="36" spans="1:9">
      <c r="A36" s="17" t="str">
        <f>DEC2HEX(out_col1!A36)</f>
        <v>2990</v>
      </c>
      <c r="B36" s="17" t="str">
        <f>DEC2HEX(out_col1!B36)</f>
        <v>AC32</v>
      </c>
      <c r="C36" s="17" t="str">
        <f>DEC2HEX(out_col1!C36)</f>
        <v>1FC4</v>
      </c>
      <c r="D36" s="17" t="str">
        <f>DEC2HEX(out_col1!D36)</f>
        <v>4740</v>
      </c>
      <c r="E36" s="30"/>
      <c r="F36" s="17" t="str">
        <f>DEC2HEX(out_col1!F36)</f>
        <v>13CC6</v>
      </c>
    </row>
    <row r="37" spans="1:9">
      <c r="A37" s="17" t="str">
        <f>DEC2HEX(out_col1!A37)</f>
        <v>33C7</v>
      </c>
      <c r="B37" s="17" t="str">
        <f>DEC2HEX(out_col1!B37)</f>
        <v>77A</v>
      </c>
      <c r="C37" s="17" t="str">
        <f>DEC2HEX(out_col1!C37)</f>
        <v>B7F0</v>
      </c>
      <c r="D37" s="17" t="str">
        <f>DEC2HEX(out_col1!D37)</f>
        <v>11A</v>
      </c>
      <c r="E37" s="30"/>
      <c r="F37" s="17" t="str">
        <f>DEC2HEX(out_col1!F37)</f>
        <v>F44B</v>
      </c>
    </row>
    <row r="38" spans="1:9">
      <c r="A38" s="17" t="str">
        <f>DEC2HEX(out_col1!A38)</f>
        <v>4ED5</v>
      </c>
      <c r="B38" s="17" t="str">
        <f>DEC2HEX(out_col1!B38)</f>
        <v>7CC8</v>
      </c>
      <c r="C38" s="17" t="str">
        <f>DEC2HEX(out_col1!C38)</f>
        <v>2C3</v>
      </c>
      <c r="D38" s="17" t="str">
        <f>DEC2HEX(out_col1!D38)</f>
        <v>5FA6</v>
      </c>
      <c r="E38" s="30"/>
      <c r="F38" s="17" t="str">
        <f>DEC2HEX(out_col1!F38)</f>
        <v>12E06</v>
      </c>
    </row>
    <row r="39" spans="1:9">
      <c r="A39" s="17" t="str">
        <f>DEC2HEX(out_col1!A39)</f>
        <v>28F0</v>
      </c>
      <c r="B39" s="17" t="str">
        <f>DEC2HEX(out_col1!B39)</f>
        <v>5352</v>
      </c>
      <c r="C39" s="17" t="str">
        <f>DEC2HEX(out_col1!C39)</f>
        <v>26E2</v>
      </c>
      <c r="D39" s="17" t="str">
        <f>DEC2HEX(out_col1!D39)</f>
        <v>54E7</v>
      </c>
      <c r="E39" s="30"/>
      <c r="F39" s="17" t="str">
        <f>DEC2HEX(out_col1!F39)</f>
        <v>F80B</v>
      </c>
    </row>
    <row r="40" spans="1:9">
      <c r="A40" s="17" t="str">
        <f>DEC2HEX(out_col1!A40)</f>
        <v>455C</v>
      </c>
      <c r="B40" s="17" t="str">
        <f>DEC2HEX(out_col1!B40)</f>
        <v>1F40</v>
      </c>
      <c r="C40" s="17" t="str">
        <f>DEC2HEX(out_col1!C40)</f>
        <v>5278</v>
      </c>
      <c r="D40" s="17" t="str">
        <f>DEC2HEX(out_col1!D40)</f>
        <v>858C</v>
      </c>
      <c r="E40" s="31"/>
      <c r="F40" s="17" t="str">
        <f>DEC2HEX(out_col1!F40)</f>
        <v>13CA0</v>
      </c>
    </row>
    <row r="41" spans="1:9">
      <c r="A41" s="17" t="str">
        <f>DEC2HEX(out_col1!A41)</f>
        <v>B00D</v>
      </c>
      <c r="B41" s="17" t="str">
        <f>DEC2HEX(out_col1!B41)</f>
        <v>84B3</v>
      </c>
      <c r="C41" s="17" t="str">
        <f>DEC2HEX(out_col1!C41)</f>
        <v>1D88</v>
      </c>
      <c r="D41" s="17" t="str">
        <f>DEC2HEX(out_col1!D41)</f>
        <v>92D0</v>
      </c>
      <c r="E41" s="29"/>
      <c r="F41" s="17" t="str">
        <f>DEC2HEX(out_col1!F41)</f>
        <v>1E518</v>
      </c>
      <c r="G41" s="20"/>
      <c r="H41" s="23">
        <v>1</v>
      </c>
      <c r="I41" s="23" t="str">
        <f>DEC2HEX(out_col1!I41)</f>
        <v>58677</v>
      </c>
    </row>
    <row r="42" spans="1:9">
      <c r="A42" s="17" t="str">
        <f>DEC2HEX(out_col1!A42)</f>
        <v>763</v>
      </c>
      <c r="B42" s="17" t="str">
        <f>DEC2HEX(out_col1!B42)</f>
        <v>4AC4</v>
      </c>
      <c r="C42" s="17" t="str">
        <f>DEC2HEX(out_col1!C42)</f>
        <v>5667</v>
      </c>
      <c r="D42" s="17" t="str">
        <f>DEC2HEX(out_col1!D42)</f>
        <v>344E</v>
      </c>
      <c r="E42" s="30"/>
      <c r="F42" s="17" t="str">
        <f>DEC2HEX(out_col1!F42)</f>
        <v>DCDC</v>
      </c>
      <c r="H42" s="23">
        <v>2</v>
      </c>
      <c r="I42" s="23" t="str">
        <f>DEC2HEX(out_col1!I42)</f>
        <v>4EB0F</v>
      </c>
    </row>
    <row r="43" spans="1:9">
      <c r="A43" s="17" t="str">
        <f>DEC2HEX(out_col1!A43)</f>
        <v>36D8</v>
      </c>
      <c r="B43" s="17" t="str">
        <f>DEC2HEX(out_col1!B43)</f>
        <v>898</v>
      </c>
      <c r="C43" s="17" t="str">
        <f>DEC2HEX(out_col1!C43)</f>
        <v>D53B</v>
      </c>
      <c r="D43" s="17" t="str">
        <f>DEC2HEX(out_col1!D43)</f>
        <v>26D0</v>
      </c>
      <c r="E43" s="30"/>
      <c r="F43" s="17" t="str">
        <f>DEC2HEX(out_col1!F43)</f>
        <v>13B7B</v>
      </c>
      <c r="H43" s="23">
        <v>3</v>
      </c>
      <c r="I43" s="23" t="str">
        <f>DEC2HEX(out_col1!I43)</f>
        <v>3DFFF</v>
      </c>
    </row>
    <row r="44" spans="1:9">
      <c r="A44" s="17" t="str">
        <f>DEC2HEX(out_col1!A44)</f>
        <v>25FF</v>
      </c>
      <c r="B44" s="17" t="str">
        <f>DEC2HEX(out_col1!B44)</f>
        <v>18FC</v>
      </c>
      <c r="C44" s="17" t="str">
        <f>DEC2HEX(out_col1!C44)</f>
        <v>4F0A</v>
      </c>
      <c r="D44" s="17" t="str">
        <f>DEC2HEX(out_col1!D44)</f>
        <v>28C8</v>
      </c>
      <c r="E44" s="30"/>
      <c r="F44" s="17" t="str">
        <f>DEC2HEX(out_col1!F44)</f>
        <v>B6CD</v>
      </c>
      <c r="H44" s="23">
        <v>4</v>
      </c>
      <c r="I44" s="23" t="str">
        <f>DEC2HEX(out_col1!I44)</f>
        <v>2BDCE</v>
      </c>
    </row>
    <row r="45" spans="1:9">
      <c r="A45" s="17" t="str">
        <f>DEC2HEX(out_col1!A45)</f>
        <v>9DCD</v>
      </c>
      <c r="B45" s="17" t="str">
        <f>DEC2HEX(out_col1!B45)</f>
        <v>90EA</v>
      </c>
      <c r="C45" s="17" t="str">
        <f>DEC2HEX(out_col1!C45)</f>
        <v>49D8</v>
      </c>
      <c r="D45" s="17" t="str">
        <f>DEC2HEX(out_col1!D45)</f>
        <v>594</v>
      </c>
      <c r="E45" s="30"/>
      <c r="F45" s="17" t="str">
        <f>DEC2HEX(out_col1!F45)</f>
        <v>17E23</v>
      </c>
      <c r="H45" s="23">
        <v>5</v>
      </c>
      <c r="I45" s="23" t="str">
        <f>DEC2HEX(out_col1!I45)</f>
        <v>42648</v>
      </c>
    </row>
    <row r="46" spans="1:9">
      <c r="A46" s="17" t="str">
        <f>DEC2HEX(out_col1!A46)</f>
        <v>261E</v>
      </c>
      <c r="B46" s="17" t="str">
        <f>DEC2HEX(out_col1!B46)</f>
        <v>9060</v>
      </c>
      <c r="C46" s="17" t="str">
        <f>DEC2HEX(out_col1!C46)</f>
        <v>537C</v>
      </c>
      <c r="D46" s="17" t="str">
        <f>DEC2HEX(out_col1!D46)</f>
        <v>1209</v>
      </c>
      <c r="E46" s="30"/>
      <c r="F46" s="17" t="str">
        <f>DEC2HEX(out_col1!F46)</f>
        <v>11C03</v>
      </c>
      <c r="H46" s="26" t="s">
        <v>6</v>
      </c>
      <c r="I46" s="23" t="str">
        <f>DEC2HEX(out_col1!I46)</f>
        <v>15359B</v>
      </c>
    </row>
    <row r="47" spans="1:9">
      <c r="A47" s="17" t="str">
        <f>DEC2HEX(out_col1!A47)</f>
        <v>6029</v>
      </c>
      <c r="B47" s="17" t="str">
        <f>DEC2HEX(out_col1!B47)</f>
        <v>3160</v>
      </c>
      <c r="C47" s="17" t="str">
        <f>DEC2HEX(out_col1!C47)</f>
        <v>1ACC</v>
      </c>
      <c r="D47" s="17" t="str">
        <f>DEC2HEX(out_col1!D47)</f>
        <v>51C2</v>
      </c>
      <c r="E47" s="30"/>
      <c r="F47" s="17" t="str">
        <f>DEC2HEX(out_col1!F47)</f>
        <v>FE17</v>
      </c>
    </row>
    <row r="48" spans="1:9">
      <c r="A48" s="17" t="str">
        <f>DEC2HEX(out_col1!A48)</f>
        <v>1612</v>
      </c>
      <c r="B48" s="17" t="str">
        <f>DEC2HEX(out_col1!B48)</f>
        <v>4C7C</v>
      </c>
      <c r="C48" s="17" t="str">
        <f>DEC2HEX(out_col1!C48)</f>
        <v>B5D8</v>
      </c>
      <c r="D48" s="17" t="str">
        <f>DEC2HEX(out_col1!D48)</f>
        <v>4494</v>
      </c>
      <c r="E48" s="30"/>
      <c r="F48" s="17" t="str">
        <f>DEC2HEX(out_col1!F48)</f>
        <v>15CFA</v>
      </c>
    </row>
    <row r="49" spans="1:9">
      <c r="A49" s="17" t="str">
        <f>DEC2HEX(out_col1!A49)</f>
        <v>3008</v>
      </c>
      <c r="B49" s="17" t="str">
        <f>DEC2HEX(out_col1!B49)</f>
        <v>41E</v>
      </c>
      <c r="C49" s="17" t="str">
        <f>DEC2HEX(out_col1!C49)</f>
        <v>1254</v>
      </c>
      <c r="D49" s="17" t="str">
        <f>DEC2HEX(out_col1!D49)</f>
        <v>5630</v>
      </c>
      <c r="E49" s="30"/>
      <c r="F49" s="17" t="str">
        <f>DEC2HEX(out_col1!F49)</f>
        <v>9CAA</v>
      </c>
    </row>
    <row r="50" spans="1:9">
      <c r="A50" s="17" t="str">
        <f>DEC2HEX(out_col1!A50)</f>
        <v>537F</v>
      </c>
      <c r="B50" s="17" t="str">
        <f>DEC2HEX(out_col1!B50)</f>
        <v>E8E</v>
      </c>
      <c r="C50" s="17" t="str">
        <f>DEC2HEX(out_col1!C50)</f>
        <v>1E6</v>
      </c>
      <c r="D50" s="17" t="str">
        <f>DEC2HEX(out_col1!D50)</f>
        <v>819C</v>
      </c>
      <c r="E50" s="30"/>
      <c r="F50" s="17" t="str">
        <f>DEC2HEX(out_col1!F50)</f>
        <v>E58F</v>
      </c>
    </row>
    <row r="51" spans="1:9">
      <c r="A51" s="17" t="str">
        <f>DEC2HEX(out_col1!A51)</f>
        <v>7728</v>
      </c>
      <c r="B51" s="17" t="str">
        <f>DEC2HEX(out_col1!B51)</f>
        <v>8D50</v>
      </c>
      <c r="C51" s="17" t="str">
        <f>DEC2HEX(out_col1!C51)</f>
        <v>FC</v>
      </c>
      <c r="D51" s="17" t="str">
        <f>DEC2HEX(out_col1!D51)</f>
        <v>BD50</v>
      </c>
      <c r="E51" s="30"/>
      <c r="F51" s="17" t="str">
        <f>DEC2HEX(out_col1!F51)</f>
        <v>1C2C4</v>
      </c>
    </row>
    <row r="52" spans="1:9">
      <c r="A52" s="17" t="str">
        <f>DEC2HEX(out_col1!A52)</f>
        <v>7E17</v>
      </c>
      <c r="B52" s="17" t="str">
        <f>DEC2HEX(out_col1!B52)</f>
        <v>214E</v>
      </c>
      <c r="C52" s="17" t="str">
        <f>DEC2HEX(out_col1!C52)</f>
        <v>B240</v>
      </c>
      <c r="D52" s="17" t="str">
        <f>DEC2HEX(out_col1!D52)</f>
        <v>13B</v>
      </c>
      <c r="E52" s="30"/>
      <c r="F52" s="17" t="str">
        <f>DEC2HEX(out_col1!F52)</f>
        <v>152E0</v>
      </c>
    </row>
    <row r="53" spans="1:9">
      <c r="A53" s="17" t="str">
        <f>DEC2HEX(out_col1!A53)</f>
        <v>48D8</v>
      </c>
      <c r="B53" s="17" t="str">
        <f>DEC2HEX(out_col1!B53)</f>
        <v>4D7</v>
      </c>
      <c r="C53" s="17" t="str">
        <f>DEC2HEX(out_col1!C53)</f>
        <v>3D52</v>
      </c>
      <c r="D53" s="17" t="str">
        <f>DEC2HEX(out_col1!D53)</f>
        <v>5F42</v>
      </c>
      <c r="E53" s="30"/>
      <c r="F53" s="17" t="str">
        <f>DEC2HEX(out_col1!F53)</f>
        <v>EA43</v>
      </c>
    </row>
    <row r="54" spans="1:9">
      <c r="A54" s="17" t="str">
        <f>DEC2HEX(out_col1!A54)</f>
        <v>3A9E</v>
      </c>
      <c r="B54" s="17" t="str">
        <f>DEC2HEX(out_col1!B54)</f>
        <v>54F0</v>
      </c>
      <c r="C54" s="17" t="str">
        <f>DEC2HEX(out_col1!C54)</f>
        <v>6D0</v>
      </c>
      <c r="D54" s="17" t="str">
        <f>DEC2HEX(out_col1!D54)</f>
        <v>1D78</v>
      </c>
      <c r="E54" s="30"/>
      <c r="F54" s="17" t="str">
        <f>DEC2HEX(out_col1!F54)</f>
        <v>B3D6</v>
      </c>
    </row>
    <row r="55" spans="1:9">
      <c r="A55" s="17" t="str">
        <f>DEC2HEX(out_col1!A55)</f>
        <v>CB49</v>
      </c>
      <c r="B55" s="17" t="str">
        <f>DEC2HEX(out_col1!B55)</f>
        <v>1D6D</v>
      </c>
      <c r="C55" s="17" t="str">
        <f>DEC2HEX(out_col1!C55)</f>
        <v>AE0</v>
      </c>
      <c r="D55" s="17" t="str">
        <f>DEC2HEX(out_col1!D55)</f>
        <v>3E8</v>
      </c>
      <c r="E55" s="30"/>
      <c r="F55" s="17" t="str">
        <f>DEC2HEX(out_col1!F55)</f>
        <v>F77E</v>
      </c>
    </row>
    <row r="56" spans="1:9">
      <c r="A56" s="17" t="str">
        <f>DEC2HEX(out_col1!A56)</f>
        <v>1B50</v>
      </c>
      <c r="B56" s="17" t="str">
        <f>DEC2HEX(out_col1!B56)</f>
        <v>34C5</v>
      </c>
      <c r="C56" s="17" t="str">
        <f>DEC2HEX(out_col1!C56)</f>
        <v>1914</v>
      </c>
      <c r="D56" s="17" t="str">
        <f>DEC2HEX(out_col1!D56)</f>
        <v>596F</v>
      </c>
      <c r="E56" s="30"/>
      <c r="F56" s="17" t="str">
        <f>DEC2HEX(out_col1!F56)</f>
        <v>C298</v>
      </c>
    </row>
    <row r="57" spans="1:9">
      <c r="A57" s="17" t="str">
        <f>DEC2HEX(out_col1!A57)</f>
        <v>A6A1</v>
      </c>
      <c r="B57" s="17" t="str">
        <f>DEC2HEX(out_col1!B57)</f>
        <v>81F</v>
      </c>
      <c r="C57" s="17" t="str">
        <f>DEC2HEX(out_col1!C57)</f>
        <v>C9D2</v>
      </c>
      <c r="D57" s="17" t="str">
        <f>DEC2HEX(out_col1!D57)</f>
        <v>44AA</v>
      </c>
      <c r="E57" s="30"/>
      <c r="F57" s="17" t="str">
        <f>DEC2HEX(out_col1!F57)</f>
        <v>1BD3C</v>
      </c>
    </row>
    <row r="58" spans="1:9">
      <c r="A58" s="17" t="str">
        <f>DEC2HEX(out_col1!A58)</f>
        <v>3795</v>
      </c>
      <c r="B58" s="17" t="str">
        <f>DEC2HEX(out_col1!B58)</f>
        <v>25A4</v>
      </c>
      <c r="C58" s="17" t="str">
        <f>DEC2HEX(out_col1!C58)</f>
        <v>E</v>
      </c>
      <c r="D58" s="17" t="str">
        <f>DEC2HEX(out_col1!D58)</f>
        <v>0</v>
      </c>
      <c r="E58" s="30"/>
      <c r="F58" s="17" t="str">
        <f>DEC2HEX(out_col1!F58)</f>
        <v>5D47</v>
      </c>
    </row>
    <row r="59" spans="1:9">
      <c r="A59" s="17" t="str">
        <f>DEC2HEX(out_col1!A59)</f>
        <v>1EF0</v>
      </c>
      <c r="B59" s="17" t="str">
        <f>DEC2HEX(out_col1!B59)</f>
        <v>B9A</v>
      </c>
      <c r="C59" s="17" t="str">
        <f>DEC2HEX(out_col1!C59)</f>
        <v>1D02</v>
      </c>
      <c r="D59" s="17" t="str">
        <f>DEC2HEX(out_col1!D59)</f>
        <v>6EF5</v>
      </c>
      <c r="E59" s="30"/>
      <c r="F59" s="17" t="str">
        <f>DEC2HEX(out_col1!F59)</f>
        <v>B681</v>
      </c>
    </row>
    <row r="60" spans="1:9">
      <c r="A60" s="17" t="str">
        <f>DEC2HEX(out_col1!A60)</f>
        <v>2280</v>
      </c>
      <c r="B60" s="17" t="str">
        <f>DEC2HEX(out_col1!B60)</f>
        <v>1B60</v>
      </c>
      <c r="C60" s="17" t="str">
        <f>DEC2HEX(out_col1!C60)</f>
        <v>463C</v>
      </c>
      <c r="D60" s="17" t="str">
        <f>DEC2HEX(out_col1!D60)</f>
        <v>46FC</v>
      </c>
      <c r="E60" s="31"/>
      <c r="F60" s="17" t="str">
        <f>DEC2HEX(out_col1!F60)</f>
        <v>CB18</v>
      </c>
    </row>
    <row r="61" spans="1:9">
      <c r="A61" s="17" t="str">
        <f>DEC2HEX(out_col1!A61)</f>
        <v>3A61</v>
      </c>
      <c r="B61" s="17" t="str">
        <f>DEC2HEX(out_col1!B61)</f>
        <v>6ABC</v>
      </c>
      <c r="C61" s="17" t="str">
        <f>DEC2HEX(out_col1!C61)</f>
        <v>4441</v>
      </c>
      <c r="D61" s="17" t="str">
        <f>DEC2HEX(out_col1!D61)</f>
        <v>F3C</v>
      </c>
      <c r="E61" s="29"/>
      <c r="F61" s="17" t="str">
        <f>DEC2HEX(out_col1!F61)</f>
        <v>F89A</v>
      </c>
      <c r="G61" s="19"/>
      <c r="H61" s="26">
        <v>1</v>
      </c>
      <c r="I61" s="26" t="str">
        <f>DEC2HEX(out_col1!I61)</f>
        <v>3D3B5</v>
      </c>
    </row>
    <row r="62" spans="1:9">
      <c r="A62" s="17" t="str">
        <f>DEC2HEX(out_col1!A62)</f>
        <v>2838</v>
      </c>
      <c r="B62" s="17" t="str">
        <f>DEC2HEX(out_col1!B62)</f>
        <v>D89</v>
      </c>
      <c r="C62" s="17" t="str">
        <f>DEC2HEX(out_col1!C62)</f>
        <v>D45E</v>
      </c>
      <c r="D62" s="17" t="str">
        <f>DEC2HEX(out_col1!D62)</f>
        <v>1E60</v>
      </c>
      <c r="E62" s="30"/>
      <c r="F62" s="17" t="str">
        <f>DEC2HEX(out_col1!F62)</f>
        <v>1287F</v>
      </c>
      <c r="H62" s="26">
        <v>2</v>
      </c>
      <c r="I62" s="26" t="str">
        <f>DEC2HEX(out_col1!I62)</f>
        <v>42D62</v>
      </c>
    </row>
    <row r="63" spans="1:9">
      <c r="A63" s="17" t="str">
        <f>DEC2HEX(out_col1!A63)</f>
        <v>7757</v>
      </c>
      <c r="B63" s="17" t="str">
        <f>DEC2HEX(out_col1!B63)</f>
        <v>86AC</v>
      </c>
      <c r="C63" s="17" t="str">
        <f>DEC2HEX(out_col1!C63)</f>
        <v>2364</v>
      </c>
      <c r="D63" s="17" t="str">
        <f>DEC2HEX(out_col1!D63)</f>
        <v>35CA</v>
      </c>
      <c r="E63" s="30"/>
      <c r="F63" s="17" t="str">
        <f>DEC2HEX(out_col1!F63)</f>
        <v>15731</v>
      </c>
      <c r="H63" s="26">
        <v>3</v>
      </c>
      <c r="I63" s="26" t="str">
        <f>DEC2HEX(out_col1!I63)</f>
        <v>5B118</v>
      </c>
    </row>
    <row r="64" spans="1:9">
      <c r="A64" s="17" t="str">
        <f>DEC2HEX(out_col1!A64)</f>
        <v>5011</v>
      </c>
      <c r="B64" s="17" t="str">
        <f>DEC2HEX(out_col1!B64)</f>
        <v>56C5</v>
      </c>
      <c r="C64" s="17" t="str">
        <f>DEC2HEX(out_col1!C64)</f>
        <v>2288</v>
      </c>
      <c r="D64" s="17" t="str">
        <f>DEC2HEX(out_col1!D64)</f>
        <v>165</v>
      </c>
      <c r="E64" s="30"/>
      <c r="F64" s="17" t="str">
        <f>DEC2HEX(out_col1!F64)</f>
        <v>CAC3</v>
      </c>
      <c r="H64" s="26">
        <v>4</v>
      </c>
      <c r="I64" s="26" t="str">
        <f>DEC2HEX(out_col1!I64)</f>
        <v>4E0C9</v>
      </c>
    </row>
    <row r="65" spans="1:9">
      <c r="A65" s="17" t="str">
        <f>DEC2HEX(out_col1!A65)</f>
        <v>174F</v>
      </c>
      <c r="B65" s="17" t="str">
        <f>DEC2HEX(out_col1!B65)</f>
        <v>2D10</v>
      </c>
      <c r="C65" s="17" t="str">
        <f>DEC2HEX(out_col1!C65)</f>
        <v>7BC0</v>
      </c>
      <c r="D65" s="17" t="str">
        <f>DEC2HEX(out_col1!D65)</f>
        <v>F5D</v>
      </c>
      <c r="E65" s="30"/>
      <c r="F65" s="17" t="str">
        <f>DEC2HEX(out_col1!F65)</f>
        <v>CF7C</v>
      </c>
      <c r="H65" s="26">
        <v>5</v>
      </c>
      <c r="I65" s="26" t="str">
        <f>DEC2HEX(out_col1!I65)</f>
        <v>42767</v>
      </c>
    </row>
    <row r="66" spans="1:9">
      <c r="A66" s="17" t="str">
        <f>DEC2HEX(out_col1!A66)</f>
        <v>3441</v>
      </c>
      <c r="B66" s="17" t="str">
        <f>DEC2HEX(out_col1!B66)</f>
        <v>2376</v>
      </c>
      <c r="C66" s="17" t="str">
        <f>DEC2HEX(out_col1!C66)</f>
        <v>49A2</v>
      </c>
      <c r="D66" s="17" t="str">
        <f>DEC2HEX(out_col1!D66)</f>
        <v>A50</v>
      </c>
      <c r="E66" s="30"/>
      <c r="F66" s="17" t="str">
        <f>DEC2HEX(out_col1!F66)</f>
        <v>ABA9</v>
      </c>
      <c r="H66" s="26" t="s">
        <v>6</v>
      </c>
      <c r="I66" s="26" t="str">
        <f>DEC2HEX(out_col1!I66)</f>
        <v>16BA5F</v>
      </c>
    </row>
    <row r="67" spans="1:9">
      <c r="A67" s="17" t="str">
        <f>DEC2HEX(out_col1!A67)</f>
        <v>4012</v>
      </c>
      <c r="B67" s="17" t="str">
        <f>DEC2HEX(out_col1!B67)</f>
        <v>5A3</v>
      </c>
      <c r="C67" s="17" t="str">
        <f>DEC2HEX(out_col1!C67)</f>
        <v>2454</v>
      </c>
      <c r="D67" s="17" t="str">
        <f>DEC2HEX(out_col1!D67)</f>
        <v>BE89</v>
      </c>
      <c r="E67" s="30"/>
      <c r="F67" s="17" t="str">
        <f>DEC2HEX(out_col1!F67)</f>
        <v>12892</v>
      </c>
    </row>
    <row r="68" spans="1:9">
      <c r="A68" s="17" t="str">
        <f>DEC2HEX(out_col1!A68)</f>
        <v>D1D2</v>
      </c>
      <c r="B68" s="17" t="str">
        <f>DEC2HEX(out_col1!B68)</f>
        <v>F609</v>
      </c>
      <c r="C68" s="17" t="str">
        <f>DEC2HEX(out_col1!C68)</f>
        <v>249E</v>
      </c>
      <c r="D68" s="17" t="str">
        <f>DEC2HEX(out_col1!D68)</f>
        <v>96F0</v>
      </c>
      <c r="E68" s="30"/>
      <c r="F68" s="17" t="str">
        <f>DEC2HEX(out_col1!F68)</f>
        <v>28369</v>
      </c>
    </row>
    <row r="69" spans="1:9">
      <c r="A69" s="17" t="str">
        <f>DEC2HEX(out_col1!A69)</f>
        <v>549</v>
      </c>
      <c r="B69" s="17" t="str">
        <f>DEC2HEX(out_col1!B69)</f>
        <v>2788</v>
      </c>
      <c r="C69" s="17" t="str">
        <f>DEC2HEX(out_col1!C69)</f>
        <v>138</v>
      </c>
      <c r="D69" s="17" t="str">
        <f>DEC2HEX(out_col1!D69)</f>
        <v>F70</v>
      </c>
      <c r="E69" s="30"/>
      <c r="F69" s="17" t="str">
        <f>DEC2HEX(out_col1!F69)</f>
        <v>3D79</v>
      </c>
    </row>
    <row r="70" spans="1:9">
      <c r="A70" s="17" t="str">
        <f>DEC2HEX(out_col1!A70)</f>
        <v>E966</v>
      </c>
      <c r="B70" s="17" t="str">
        <f>DEC2HEX(out_col1!B70)</f>
        <v>3A04</v>
      </c>
      <c r="C70" s="17" t="str">
        <f>DEC2HEX(out_col1!C70)</f>
        <v>6388</v>
      </c>
      <c r="D70" s="17" t="str">
        <f>DEC2HEX(out_col1!D70)</f>
        <v>0</v>
      </c>
      <c r="E70" s="30"/>
      <c r="F70" s="17" t="str">
        <f>DEC2HEX(out_col1!F70)</f>
        <v>186F2</v>
      </c>
    </row>
    <row r="71" spans="1:9">
      <c r="A71" s="17" t="str">
        <f>DEC2HEX(out_col1!A71)</f>
        <v>2C24</v>
      </c>
      <c r="B71" s="17" t="str">
        <f>DEC2HEX(out_col1!B71)</f>
        <v>3C28</v>
      </c>
      <c r="C71" s="17" t="str">
        <f>DEC2HEX(out_col1!C71)</f>
        <v>2A68</v>
      </c>
      <c r="D71" s="17" t="str">
        <f>DEC2HEX(out_col1!D71)</f>
        <v>46A8</v>
      </c>
      <c r="E71" s="30"/>
      <c r="F71" s="17" t="str">
        <f>DEC2HEX(out_col1!F71)</f>
        <v>D95C</v>
      </c>
    </row>
    <row r="72" spans="1:9">
      <c r="A72" s="17" t="str">
        <f>DEC2HEX(out_col1!A72)</f>
        <v>ADE8</v>
      </c>
      <c r="B72" s="17" t="str">
        <f>DEC2HEX(out_col1!B72)</f>
        <v>74E</v>
      </c>
      <c r="C72" s="17" t="str">
        <f>DEC2HEX(out_col1!C72)</f>
        <v>3CEA</v>
      </c>
      <c r="D72" s="17" t="str">
        <f>DEC2HEX(out_col1!D72)</f>
        <v>2BC0</v>
      </c>
      <c r="E72" s="30"/>
      <c r="F72" s="17" t="str">
        <f>DEC2HEX(out_col1!F72)</f>
        <v>11DE0</v>
      </c>
    </row>
    <row r="73" spans="1:9">
      <c r="A73" s="17" t="str">
        <f>DEC2HEX(out_col1!A73)</f>
        <v>1A0D</v>
      </c>
      <c r="B73" s="17" t="str">
        <f>DEC2HEX(out_col1!B73)</f>
        <v>1C2</v>
      </c>
      <c r="C73" s="17" t="str">
        <f>DEC2HEX(out_col1!C73)</f>
        <v>264</v>
      </c>
      <c r="D73" s="17" t="str">
        <f>DEC2HEX(out_col1!D73)</f>
        <v>64A0</v>
      </c>
      <c r="E73" s="30"/>
      <c r="F73" s="17" t="str">
        <f>DEC2HEX(out_col1!F73)</f>
        <v>82D3</v>
      </c>
    </row>
    <row r="74" spans="1:9">
      <c r="A74" s="17" t="str">
        <f>DEC2HEX(out_col1!A74)</f>
        <v>9376</v>
      </c>
      <c r="B74" s="17" t="str">
        <f>DEC2HEX(out_col1!B74)</f>
        <v>158C</v>
      </c>
      <c r="C74" s="17" t="str">
        <f>DEC2HEX(out_col1!C74)</f>
        <v>F424</v>
      </c>
      <c r="D74" s="17" t="str">
        <f>DEC2HEX(out_col1!D74)</f>
        <v>B496</v>
      </c>
      <c r="E74" s="30"/>
      <c r="F74" s="17" t="str">
        <f>DEC2HEX(out_col1!F74)</f>
        <v>251BC</v>
      </c>
    </row>
    <row r="75" spans="1:9">
      <c r="A75" s="17" t="str">
        <f>DEC2HEX(out_col1!A75)</f>
        <v>5C65</v>
      </c>
      <c r="B75" s="17" t="str">
        <f>DEC2HEX(out_col1!B75)</f>
        <v>819C</v>
      </c>
      <c r="C75" s="17" t="str">
        <f>DEC2HEX(out_col1!C75)</f>
        <v>1590</v>
      </c>
      <c r="D75" s="17" t="str">
        <f>DEC2HEX(out_col1!D75)</f>
        <v>18DD</v>
      </c>
      <c r="E75" s="30"/>
      <c r="F75" s="17" t="str">
        <f>DEC2HEX(out_col1!F75)</f>
        <v>10C6E</v>
      </c>
    </row>
    <row r="76" spans="1:9">
      <c r="A76" s="17" t="str">
        <f>DEC2HEX(out_col1!A76)</f>
        <v>E790</v>
      </c>
      <c r="B76" s="17" t="str">
        <f>DEC2HEX(out_col1!B76)</f>
        <v>4864</v>
      </c>
      <c r="C76" s="17" t="str">
        <f>DEC2HEX(out_col1!C76)</f>
        <v>186</v>
      </c>
      <c r="D76" s="17" t="str">
        <f>DEC2HEX(out_col1!D76)</f>
        <v>249C</v>
      </c>
      <c r="E76" s="30"/>
      <c r="F76" s="17" t="str">
        <f>DEC2HEX(out_col1!F76)</f>
        <v>15616</v>
      </c>
    </row>
    <row r="77" spans="1:9">
      <c r="A77" s="17" t="str">
        <f>DEC2HEX(out_col1!A77)</f>
        <v>A30</v>
      </c>
      <c r="B77" s="17" t="str">
        <f>DEC2HEX(out_col1!B77)</f>
        <v>41E6</v>
      </c>
      <c r="C77" s="17" t="str">
        <f>DEC2HEX(out_col1!C77)</f>
        <v>3FF7</v>
      </c>
      <c r="D77" s="17" t="str">
        <f>DEC2HEX(out_col1!D77)</f>
        <v>3264</v>
      </c>
      <c r="E77" s="30"/>
      <c r="F77" s="17" t="str">
        <f>DEC2HEX(out_col1!F77)</f>
        <v>BE71</v>
      </c>
    </row>
    <row r="78" spans="1:9">
      <c r="A78" s="17" t="str">
        <f>DEC2HEX(out_col1!A78)</f>
        <v>7DB2</v>
      </c>
      <c r="B78" s="17" t="str">
        <f>DEC2HEX(out_col1!B78)</f>
        <v>B9F0</v>
      </c>
      <c r="C78" s="17" t="str">
        <f>DEC2HEX(out_col1!C78)</f>
        <v>69</v>
      </c>
      <c r="D78" s="17" t="str">
        <f>DEC2HEX(out_col1!D78)</f>
        <v>1BA0</v>
      </c>
      <c r="E78" s="30"/>
      <c r="F78" s="17" t="str">
        <f>DEC2HEX(out_col1!F78)</f>
        <v>153AB</v>
      </c>
    </row>
    <row r="79" spans="1:9">
      <c r="A79" s="17" t="str">
        <f>DEC2HEX(out_col1!A79)</f>
        <v>A069</v>
      </c>
      <c r="B79" s="17" t="str">
        <f>DEC2HEX(out_col1!B79)</f>
        <v>140D</v>
      </c>
      <c r="C79" s="17" t="str">
        <f>DEC2HEX(out_col1!C79)</f>
        <v>B050</v>
      </c>
      <c r="D79" s="17" t="str">
        <f>DEC2HEX(out_col1!D79)</f>
        <v>220B</v>
      </c>
      <c r="E79" s="30"/>
      <c r="F79" s="17" t="str">
        <f>DEC2HEX(out_col1!F79)</f>
        <v>186D1</v>
      </c>
    </row>
    <row r="80" spans="1:9">
      <c r="A80" s="17" t="str">
        <f>DEC2HEX(out_col1!A80)</f>
        <v>BD0</v>
      </c>
      <c r="B80" s="17" t="str">
        <f>DEC2HEX(out_col1!B80)</f>
        <v>6A5</v>
      </c>
      <c r="C80" s="17" t="str">
        <f>DEC2HEX(out_col1!C80)</f>
        <v>500C</v>
      </c>
      <c r="D80" s="17" t="str">
        <f>DEC2HEX(out_col1!D80)</f>
        <v>620A</v>
      </c>
      <c r="E80" s="31"/>
      <c r="F80" s="17" t="str">
        <f>DEC2HEX(out_col1!F80)</f>
        <v>C48B</v>
      </c>
    </row>
  </sheetData>
  <mergeCells count="4">
    <mergeCell ref="E1:E20"/>
    <mergeCell ref="E21:E40"/>
    <mergeCell ref="E41:E60"/>
    <mergeCell ref="E61:E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mem_dec</vt:lpstr>
      <vt:lpstr>mem_hex</vt:lpstr>
      <vt:lpstr>out_col0</vt:lpstr>
      <vt:lpstr>hex_out_col0</vt:lpstr>
      <vt:lpstr>out_col1</vt:lpstr>
      <vt:lpstr>hex_out_col1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Volpe</dc:creator>
  <cp:lastModifiedBy>Francesco Volpe</cp:lastModifiedBy>
  <dcterms:created xsi:type="dcterms:W3CDTF">2025-01-18T11:37:49Z</dcterms:created>
  <dcterms:modified xsi:type="dcterms:W3CDTF">2025-02-20T07:07:17Z</dcterms:modified>
</cp:coreProperties>
</file>